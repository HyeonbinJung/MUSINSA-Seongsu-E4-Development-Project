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2EAB8C71-A6FB-48ED-A737-D16D053B270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ADME" sheetId="36" r:id="rId1"/>
    <sheet name="Summary" sheetId="19" r:id="rId2"/>
    <sheet name="CF &amp; CoC &gt;&gt;&gt;" sheetId="27" r:id="rId3"/>
    <sheet name="Assumptions" sheetId="20" r:id="rId4"/>
    <sheet name="Operating CF" sheetId="22" r:id="rId5"/>
    <sheet name="Exit &amp; Risk Analysis" sheetId="35" r:id="rId6"/>
    <sheet name="Dev PF" sheetId="21" r:id="rId7"/>
    <sheet name="Assumptions Reason &gt;&gt;&gt;" sheetId="28" r:id="rId8"/>
    <sheet name="Total Development Cost" sheetId="25" r:id="rId9"/>
    <sheet name="Exit Value Reason" sheetId="24" r:id="rId10"/>
    <sheet name="임대료 (NOI 산출) &gt;&gt;&gt;" sheetId="33" r:id="rId11"/>
    <sheet name="임대료 Summary" sheetId="29" r:id="rId12"/>
    <sheet name="Methodology" sheetId="32" r:id="rId13"/>
    <sheet name="Peer Comps" sheetId="31" r:id="rId14"/>
    <sheet name="Target Rent" sheetId="30" r:id="rId15"/>
    <sheet name="Raw Data &gt;&gt;&gt;" sheetId="2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8" i="35" l="1"/>
  <c r="N58" i="35"/>
  <c r="M58" i="35"/>
  <c r="L58" i="35"/>
  <c r="K58" i="35"/>
  <c r="J58" i="35"/>
  <c r="I58" i="35"/>
  <c r="H58" i="35"/>
  <c r="G58" i="35"/>
  <c r="F58" i="35"/>
  <c r="E58" i="35"/>
  <c r="O56" i="35"/>
  <c r="N56" i="35"/>
  <c r="M56" i="35"/>
  <c r="L56" i="35"/>
  <c r="K56" i="35"/>
  <c r="J56" i="35"/>
  <c r="I56" i="35"/>
  <c r="H56" i="35"/>
  <c r="G56" i="35"/>
  <c r="F56" i="35"/>
  <c r="E56" i="35"/>
  <c r="O54" i="35"/>
  <c r="N54" i="35"/>
  <c r="M54" i="35"/>
  <c r="L54" i="35"/>
  <c r="K54" i="35"/>
  <c r="J54" i="35"/>
  <c r="I54" i="35"/>
  <c r="H54" i="35"/>
  <c r="G54" i="35"/>
  <c r="F54" i="35"/>
  <c r="E54" i="35"/>
  <c r="R32" i="35"/>
  <c r="R31" i="35"/>
  <c r="R30" i="35"/>
  <c r="R29" i="35"/>
  <c r="R28" i="35"/>
  <c r="R27" i="35"/>
  <c r="R26" i="35"/>
  <c r="R25" i="35"/>
  <c r="R24" i="35"/>
  <c r="H23" i="35"/>
  <c r="H24" i="35" s="1"/>
  <c r="E59" i="35" s="1"/>
  <c r="G23" i="35"/>
  <c r="G24" i="35" s="1"/>
  <c r="E57" i="35" s="1"/>
  <c r="F23" i="35"/>
  <c r="F24" i="35" s="1"/>
  <c r="E55" i="35" s="1"/>
  <c r="R23" i="35"/>
  <c r="R22" i="35"/>
  <c r="R21" i="35"/>
  <c r="R20" i="35"/>
  <c r="R19" i="35"/>
  <c r="R18" i="35"/>
  <c r="R17" i="35"/>
  <c r="R16" i="35"/>
  <c r="R15" i="35"/>
  <c r="R14" i="35"/>
  <c r="R13" i="35"/>
  <c r="G12" i="35"/>
  <c r="R12" i="35"/>
  <c r="K11" i="35"/>
  <c r="I11" i="35"/>
  <c r="R11" i="35"/>
  <c r="R10" i="35"/>
  <c r="R9" i="35"/>
  <c r="R8" i="35"/>
  <c r="AB2" i="35"/>
  <c r="AA2" i="35"/>
  <c r="Z2" i="35"/>
  <c r="Y2" i="35"/>
  <c r="X2" i="35"/>
  <c r="W2" i="35"/>
  <c r="V2" i="35"/>
  <c r="U2" i="35"/>
  <c r="T2" i="35"/>
  <c r="S2" i="35"/>
  <c r="R2" i="35"/>
  <c r="E34" i="30"/>
  <c r="F34" i="30" s="1"/>
  <c r="E32" i="30"/>
  <c r="F32" i="30" s="1"/>
  <c r="I23" i="30"/>
  <c r="J23" i="30" s="1"/>
  <c r="I20" i="30"/>
  <c r="J20" i="30" s="1"/>
  <c r="G19" i="30"/>
  <c r="H19" i="30" s="1"/>
  <c r="G18" i="30"/>
  <c r="H18" i="30" s="1"/>
  <c r="I16" i="30"/>
  <c r="J16" i="30" s="1"/>
  <c r="E9" i="30"/>
  <c r="E6" i="30"/>
  <c r="G14" i="30" s="1"/>
  <c r="H14" i="30" s="1"/>
  <c r="G30" i="31"/>
  <c r="F30" i="31"/>
  <c r="G29" i="31"/>
  <c r="F29" i="31"/>
  <c r="J21" i="29" s="1"/>
  <c r="G28" i="31"/>
  <c r="F28" i="31"/>
  <c r="E7" i="30" s="1"/>
  <c r="G27" i="31"/>
  <c r="F27" i="31"/>
  <c r="G26" i="31"/>
  <c r="E8" i="30" s="1"/>
  <c r="F26" i="31"/>
  <c r="G25" i="31"/>
  <c r="F25" i="31"/>
  <c r="E33" i="30" s="1"/>
  <c r="F33" i="30" s="1"/>
  <c r="G24" i="31"/>
  <c r="F24" i="31"/>
  <c r="G23" i="31"/>
  <c r="F23" i="31"/>
  <c r="E31" i="30" s="1"/>
  <c r="F31" i="30" s="1"/>
  <c r="J22" i="29"/>
  <c r="J20" i="29"/>
  <c r="J18" i="29"/>
  <c r="F17" i="29"/>
  <c r="G17" i="29" s="1"/>
  <c r="E17" i="29"/>
  <c r="J16" i="29"/>
  <c r="F16" i="29"/>
  <c r="J15" i="29"/>
  <c r="L11" i="29"/>
  <c r="K11" i="29"/>
  <c r="J11" i="29"/>
  <c r="G11" i="29"/>
  <c r="E11" i="29"/>
  <c r="D11" i="29"/>
  <c r="J45" i="24"/>
  <c r="J44" i="24"/>
  <c r="J43" i="24"/>
  <c r="J42" i="24"/>
  <c r="J41" i="24"/>
  <c r="J40" i="24"/>
  <c r="J39" i="24"/>
  <c r="J38" i="24"/>
  <c r="J37" i="24"/>
  <c r="J36" i="24"/>
  <c r="J35" i="24"/>
  <c r="J34" i="24"/>
  <c r="J33" i="24"/>
  <c r="J32" i="24"/>
  <c r="J31" i="24"/>
  <c r="F16" i="24" s="1"/>
  <c r="J30" i="24"/>
  <c r="E25" i="24"/>
  <c r="E26" i="24" s="1"/>
  <c r="G11" i="24"/>
  <c r="G10" i="24"/>
  <c r="G9" i="24"/>
  <c r="G8" i="24"/>
  <c r="G7" i="24"/>
  <c r="H68" i="25"/>
  <c r="G68" i="25"/>
  <c r="F68" i="25"/>
  <c r="H67" i="25"/>
  <c r="G67" i="25"/>
  <c r="F67" i="25"/>
  <c r="F58" i="25"/>
  <c r="H57" i="25"/>
  <c r="G57" i="25"/>
  <c r="F57" i="25"/>
  <c r="G50" i="25"/>
  <c r="H49" i="25"/>
  <c r="G49" i="25"/>
  <c r="G48" i="25"/>
  <c r="H47" i="25"/>
  <c r="G47" i="25"/>
  <c r="G46" i="25"/>
  <c r="H46" i="25" s="1"/>
  <c r="G45" i="25"/>
  <c r="H45" i="25" s="1"/>
  <c r="G44" i="25"/>
  <c r="H43" i="25"/>
  <c r="G43" i="25"/>
  <c r="G42" i="25"/>
  <c r="H36" i="25"/>
  <c r="G36" i="25"/>
  <c r="F36" i="25"/>
  <c r="F33" i="25"/>
  <c r="H32" i="25"/>
  <c r="G32" i="25"/>
  <c r="F32" i="25"/>
  <c r="E27" i="25"/>
  <c r="F21" i="25"/>
  <c r="E25" i="21"/>
  <c r="E16" i="21"/>
  <c r="Q16" i="21" s="1"/>
  <c r="P12" i="21"/>
  <c r="N12" i="21"/>
  <c r="M12" i="21"/>
  <c r="K12" i="21"/>
  <c r="J12" i="21"/>
  <c r="E12" i="21"/>
  <c r="E17" i="21" s="1"/>
  <c r="E9" i="21"/>
  <c r="Q9" i="21" s="1"/>
  <c r="Q8" i="21"/>
  <c r="E8" i="21"/>
  <c r="P7" i="21"/>
  <c r="O7" i="21"/>
  <c r="N7" i="21"/>
  <c r="M7" i="21"/>
  <c r="L7" i="21"/>
  <c r="L12" i="21" s="1"/>
  <c r="K7" i="21"/>
  <c r="J7" i="21"/>
  <c r="I7" i="21"/>
  <c r="I12" i="21" s="1"/>
  <c r="H7" i="21"/>
  <c r="G7" i="21"/>
  <c r="F7" i="21"/>
  <c r="Q6" i="21"/>
  <c r="E32" i="22"/>
  <c r="E31" i="22"/>
  <c r="O30" i="22"/>
  <c r="N30" i="22"/>
  <c r="M30" i="22"/>
  <c r="L30" i="22"/>
  <c r="K30" i="22"/>
  <c r="J30" i="22"/>
  <c r="I30" i="22"/>
  <c r="H30" i="22"/>
  <c r="G30" i="22"/>
  <c r="F30" i="22"/>
  <c r="E30" i="22"/>
  <c r="O19" i="22"/>
  <c r="F13" i="22"/>
  <c r="G9" i="22" s="1"/>
  <c r="F12" i="22"/>
  <c r="O10" i="22"/>
  <c r="N10" i="22"/>
  <c r="M10" i="22"/>
  <c r="L10" i="22"/>
  <c r="K10" i="22"/>
  <c r="J10" i="22"/>
  <c r="I10" i="22"/>
  <c r="H10" i="22"/>
  <c r="G10" i="22"/>
  <c r="F10" i="22"/>
  <c r="F9" i="22"/>
  <c r="F11" i="22" s="1"/>
  <c r="K8" i="19"/>
  <c r="G7" i="19"/>
  <c r="E7" i="19"/>
  <c r="E6" i="19"/>
  <c r="E8" i="19" s="1"/>
  <c r="E5" i="19"/>
  <c r="G11" i="22" l="1"/>
  <c r="G12" i="22"/>
  <c r="G13" i="22" s="1"/>
  <c r="H9" i="22" s="1"/>
  <c r="G12" i="21"/>
  <c r="H12" i="21"/>
  <c r="G21" i="25"/>
  <c r="H42" i="25"/>
  <c r="H21" i="25" s="1"/>
  <c r="G20" i="30"/>
  <c r="H20" i="30" s="1"/>
  <c r="G22" i="30"/>
  <c r="H22" i="30" s="1"/>
  <c r="G24" i="30"/>
  <c r="H24" i="30" s="1"/>
  <c r="G23" i="30"/>
  <c r="H23" i="30" s="1"/>
  <c r="K23" i="30" s="1"/>
  <c r="F14" i="24"/>
  <c r="F17" i="24"/>
  <c r="K25" i="24" s="1"/>
  <c r="K26" i="24" s="1"/>
  <c r="H50" i="25"/>
  <c r="F19" i="29"/>
  <c r="J17" i="29"/>
  <c r="I22" i="30"/>
  <c r="J22" i="30" s="1"/>
  <c r="I24" i="30"/>
  <c r="J24" i="30" s="1"/>
  <c r="G21" i="30"/>
  <c r="H21" i="30" s="1"/>
  <c r="K21" i="30" s="1"/>
  <c r="F37" i="25"/>
  <c r="G33" i="25"/>
  <c r="F11" i="29"/>
  <c r="E18" i="21"/>
  <c r="O12" i="21"/>
  <c r="F38" i="25"/>
  <c r="G58" i="25"/>
  <c r="H48" i="25"/>
  <c r="H58" i="25" s="1"/>
  <c r="I15" i="30"/>
  <c r="J15" i="30" s="1"/>
  <c r="I17" i="30"/>
  <c r="J17" i="30" s="1"/>
  <c r="I19" i="30"/>
  <c r="J19" i="30" s="1"/>
  <c r="K19" i="30" s="1"/>
  <c r="I14" i="30"/>
  <c r="J14" i="30" s="1"/>
  <c r="K14" i="30" s="1"/>
  <c r="I18" i="30"/>
  <c r="J18" i="30" s="1"/>
  <c r="K18" i="30" s="1"/>
  <c r="I21" i="30"/>
  <c r="J21" i="30" s="1"/>
  <c r="H44" i="25"/>
  <c r="E16" i="29"/>
  <c r="G15" i="30"/>
  <c r="H15" i="30" s="1"/>
  <c r="K15" i="30" s="1"/>
  <c r="G17" i="30"/>
  <c r="H17" i="30" s="1"/>
  <c r="K17" i="30" s="1"/>
  <c r="G16" i="30"/>
  <c r="H16" i="30" s="1"/>
  <c r="K16" i="30" s="1"/>
  <c r="F12" i="21"/>
  <c r="Q7" i="21"/>
  <c r="F15" i="24"/>
  <c r="H25" i="24" s="1"/>
  <c r="H26" i="24" s="1"/>
  <c r="I11" i="29"/>
  <c r="J19" i="29"/>
  <c r="Q12" i="21"/>
  <c r="E14" i="21"/>
  <c r="F11" i="21" s="1"/>
  <c r="H11" i="22" l="1"/>
  <c r="H12" i="22"/>
  <c r="H13" i="22"/>
  <c r="I9" i="22" s="1"/>
  <c r="E18" i="29"/>
  <c r="G37" i="25"/>
  <c r="G38" i="25" s="1"/>
  <c r="H33" i="25"/>
  <c r="H37" i="25" s="1"/>
  <c r="H38" i="25" s="1"/>
  <c r="H55" i="25" s="1"/>
  <c r="F54" i="25"/>
  <c r="F61" i="25" s="1"/>
  <c r="F59" i="25"/>
  <c r="F55" i="25"/>
  <c r="F22" i="25"/>
  <c r="F56" i="25"/>
  <c r="F60" i="25"/>
  <c r="H26" i="30"/>
  <c r="E19" i="21"/>
  <c r="F17" i="21"/>
  <c r="K24" i="30"/>
  <c r="F14" i="21"/>
  <c r="G11" i="21" s="1"/>
  <c r="F13" i="21"/>
  <c r="K22" i="30"/>
  <c r="E19" i="29"/>
  <c r="G19" i="29" s="1"/>
  <c r="J26" i="30"/>
  <c r="F18" i="29"/>
  <c r="F20" i="29" s="1"/>
  <c r="K20" i="30"/>
  <c r="K26" i="30" s="1"/>
  <c r="F63" i="25" l="1"/>
  <c r="F23" i="25" s="1"/>
  <c r="F62" i="25"/>
  <c r="H60" i="25"/>
  <c r="G22" i="25"/>
  <c r="G54" i="25"/>
  <c r="G55" i="25"/>
  <c r="G60" i="25"/>
  <c r="G56" i="25"/>
  <c r="G59" i="25"/>
  <c r="G18" i="29"/>
  <c r="E6" i="29" s="1"/>
  <c r="F18" i="20" s="1"/>
  <c r="E20" i="29"/>
  <c r="G20" i="29" s="1"/>
  <c r="I11" i="22"/>
  <c r="I12" i="22"/>
  <c r="I13" i="22"/>
  <c r="J9" i="22" s="1"/>
  <c r="F18" i="21"/>
  <c r="F24" i="25"/>
  <c r="F25" i="25" s="1"/>
  <c r="F19" i="21"/>
  <c r="H22" i="25"/>
  <c r="H54" i="25"/>
  <c r="H59" i="25"/>
  <c r="H56" i="25"/>
  <c r="G13" i="21"/>
  <c r="K12" i="35" l="1"/>
  <c r="I12" i="35"/>
  <c r="G5" i="19"/>
  <c r="G6" i="19" s="1"/>
  <c r="H66" i="35"/>
  <c r="E12" i="35"/>
  <c r="G66" i="35"/>
  <c r="F66" i="35"/>
  <c r="H30" i="35"/>
  <c r="H67" i="35" s="1"/>
  <c r="H64" i="35"/>
  <c r="H65" i="35" s="1"/>
  <c r="G64" i="35"/>
  <c r="G65" i="35" s="1"/>
  <c r="F64" i="35"/>
  <c r="F65" i="35" s="1"/>
  <c r="F6" i="22"/>
  <c r="G30" i="35"/>
  <c r="G67" i="35" s="1"/>
  <c r="F30" i="35"/>
  <c r="F67" i="35" s="1"/>
  <c r="H61" i="25"/>
  <c r="G61" i="25"/>
  <c r="G18" i="21"/>
  <c r="G17" i="21"/>
  <c r="J11" i="22"/>
  <c r="J12" i="22"/>
  <c r="J13" i="22" s="1"/>
  <c r="K9" i="22" s="1"/>
  <c r="G14" i="21"/>
  <c r="H11" i="21" s="1"/>
  <c r="K12" i="22" l="1"/>
  <c r="K13" i="22" s="1"/>
  <c r="L9" i="22" s="1"/>
  <c r="K11" i="22"/>
  <c r="H62" i="25"/>
  <c r="H63" i="25" s="1"/>
  <c r="H23" i="25" s="1"/>
  <c r="H24" i="25" s="1"/>
  <c r="H25" i="25" s="1"/>
  <c r="G19" i="21"/>
  <c r="G62" i="25"/>
  <c r="G63" i="25" s="1"/>
  <c r="G23" i="25" s="1"/>
  <c r="G24" i="25" s="1"/>
  <c r="G25" i="25" s="1"/>
  <c r="H13" i="21"/>
  <c r="H14" i="21" s="1"/>
  <c r="I11" i="21" s="1"/>
  <c r="F55" i="35"/>
  <c r="F59" i="35"/>
  <c r="F15" i="22"/>
  <c r="F57" i="35"/>
  <c r="G6" i="22"/>
  <c r="I14" i="21" l="1"/>
  <c r="J11" i="21" s="1"/>
  <c r="I13" i="21"/>
  <c r="L12" i="22"/>
  <c r="L13" i="22"/>
  <c r="M9" i="22" s="1"/>
  <c r="L11" i="22"/>
  <c r="S16" i="35"/>
  <c r="F16" i="22"/>
  <c r="S26" i="35"/>
  <c r="S17" i="35"/>
  <c r="S12" i="35"/>
  <c r="S8" i="35"/>
  <c r="S18" i="35"/>
  <c r="S9" i="35"/>
  <c r="S31" i="35"/>
  <c r="S25" i="35"/>
  <c r="S19" i="35"/>
  <c r="S10" i="35"/>
  <c r="E29" i="19"/>
  <c r="S32" i="35"/>
  <c r="S20" i="35"/>
  <c r="S11" i="35"/>
  <c r="S30" i="35"/>
  <c r="S24" i="35"/>
  <c r="S21" i="35"/>
  <c r="S28" i="35"/>
  <c r="S13" i="35"/>
  <c r="S14" i="35"/>
  <c r="S27" i="35"/>
  <c r="S29" i="35"/>
  <c r="S15" i="35"/>
  <c r="S23" i="35"/>
  <c r="F25" i="22"/>
  <c r="S22" i="35"/>
  <c r="H18" i="21"/>
  <c r="H17" i="21"/>
  <c r="G55" i="35"/>
  <c r="G15" i="22"/>
  <c r="G7" i="22"/>
  <c r="G57" i="35"/>
  <c r="H6" i="22"/>
  <c r="G59" i="35"/>
  <c r="H19" i="21" l="1"/>
  <c r="F31" i="22"/>
  <c r="F32" i="22"/>
  <c r="I6" i="22"/>
  <c r="H55" i="35"/>
  <c r="H57" i="35"/>
  <c r="H15" i="22"/>
  <c r="H7" i="22"/>
  <c r="H59" i="35"/>
  <c r="G8" i="19"/>
  <c r="E28" i="19"/>
  <c r="T26" i="35"/>
  <c r="T17" i="35"/>
  <c r="T12" i="35"/>
  <c r="T8" i="35"/>
  <c r="T18" i="35"/>
  <c r="T9" i="35"/>
  <c r="T31" i="35"/>
  <c r="T25" i="35"/>
  <c r="T19" i="35"/>
  <c r="T10" i="35"/>
  <c r="F29" i="19"/>
  <c r="T32" i="35"/>
  <c r="T20" i="35"/>
  <c r="T11" i="35"/>
  <c r="T30" i="35"/>
  <c r="T24" i="35"/>
  <c r="T21" i="35"/>
  <c r="T22" i="35"/>
  <c r="T14" i="35"/>
  <c r="T27" i="35"/>
  <c r="T15" i="35"/>
  <c r="G25" i="22"/>
  <c r="T23" i="35"/>
  <c r="T29" i="35"/>
  <c r="T28" i="35"/>
  <c r="T16" i="35"/>
  <c r="G16" i="22"/>
  <c r="F28" i="19" s="1"/>
  <c r="T13" i="35"/>
  <c r="M13" i="22"/>
  <c r="N9" i="22" s="1"/>
  <c r="M11" i="22"/>
  <c r="M12" i="22"/>
  <c r="I18" i="21"/>
  <c r="I17" i="21"/>
  <c r="I19" i="21" s="1"/>
  <c r="J13" i="21"/>
  <c r="J14" i="21" s="1"/>
  <c r="K11" i="21" s="1"/>
  <c r="K13" i="21" l="1"/>
  <c r="G31" i="22"/>
  <c r="G32" i="22"/>
  <c r="I55" i="35"/>
  <c r="J6" i="22"/>
  <c r="I57" i="35"/>
  <c r="I15" i="22"/>
  <c r="I7" i="22"/>
  <c r="I59" i="35"/>
  <c r="U18" i="35"/>
  <c r="U9" i="35"/>
  <c r="U31" i="35"/>
  <c r="U25" i="35"/>
  <c r="U19" i="35"/>
  <c r="U10" i="35"/>
  <c r="G29" i="19"/>
  <c r="U32" i="35"/>
  <c r="U20" i="35"/>
  <c r="U11" i="35"/>
  <c r="U30" i="35"/>
  <c r="U24" i="35"/>
  <c r="U21" i="35"/>
  <c r="U22" i="35"/>
  <c r="U29" i="35"/>
  <c r="U23" i="35"/>
  <c r="U27" i="35"/>
  <c r="U15" i="35"/>
  <c r="U16" i="35"/>
  <c r="H16" i="22"/>
  <c r="G28" i="19" s="1"/>
  <c r="U26" i="35"/>
  <c r="H25" i="22"/>
  <c r="U12" i="35"/>
  <c r="U8" i="35"/>
  <c r="U17" i="35"/>
  <c r="U28" i="35"/>
  <c r="U13" i="35"/>
  <c r="U14" i="35"/>
  <c r="N13" i="22"/>
  <c r="O9" i="22" s="1"/>
  <c r="N12" i="22"/>
  <c r="N11" i="22"/>
  <c r="J17" i="21"/>
  <c r="J18" i="21"/>
  <c r="V31" i="35" l="1"/>
  <c r="V25" i="35"/>
  <c r="V19" i="35"/>
  <c r="V10" i="35"/>
  <c r="H29" i="19"/>
  <c r="V32" i="35"/>
  <c r="V20" i="35"/>
  <c r="V11" i="35"/>
  <c r="V30" i="35"/>
  <c r="V24" i="35"/>
  <c r="V21" i="35"/>
  <c r="V22" i="35"/>
  <c r="V29" i="35"/>
  <c r="V23" i="35"/>
  <c r="V16" i="35"/>
  <c r="I16" i="22"/>
  <c r="H28" i="19" s="1"/>
  <c r="V26" i="35"/>
  <c r="V17" i="35"/>
  <c r="V12" i="35"/>
  <c r="V8" i="35"/>
  <c r="I25" i="22"/>
  <c r="V14" i="35"/>
  <c r="V27" i="35"/>
  <c r="V15" i="35"/>
  <c r="V13" i="35"/>
  <c r="V28" i="35"/>
  <c r="V9" i="35"/>
  <c r="V18" i="35"/>
  <c r="O12" i="22"/>
  <c r="O13" i="22"/>
  <c r="O22" i="22" s="1"/>
  <c r="O11" i="22"/>
  <c r="K18" i="21"/>
  <c r="K17" i="21"/>
  <c r="K19" i="21" s="1"/>
  <c r="J19" i="21"/>
  <c r="J55" i="35"/>
  <c r="K6" i="22"/>
  <c r="J57" i="35"/>
  <c r="J59" i="35"/>
  <c r="J7" i="22"/>
  <c r="J15" i="22"/>
  <c r="K14" i="21"/>
  <c r="L11" i="21" s="1"/>
  <c r="H32" i="22"/>
  <c r="H31" i="22"/>
  <c r="W32" i="35" l="1"/>
  <c r="W20" i="35"/>
  <c r="W11" i="35"/>
  <c r="W30" i="35"/>
  <c r="W24" i="35"/>
  <c r="W21" i="35"/>
  <c r="W22" i="35"/>
  <c r="W29" i="35"/>
  <c r="W23" i="35"/>
  <c r="J25" i="22"/>
  <c r="W28" i="35"/>
  <c r="W13" i="35"/>
  <c r="W26" i="35"/>
  <c r="W17" i="35"/>
  <c r="W12" i="35"/>
  <c r="W8" i="35"/>
  <c r="W18" i="35"/>
  <c r="W9" i="35"/>
  <c r="W31" i="35"/>
  <c r="W25" i="35"/>
  <c r="W19" i="35"/>
  <c r="W27" i="35"/>
  <c r="W15" i="35"/>
  <c r="W10" i="35"/>
  <c r="J16" i="22"/>
  <c r="I28" i="19" s="1"/>
  <c r="I29" i="19"/>
  <c r="W14" i="35"/>
  <c r="W16" i="35"/>
  <c r="K55" i="35"/>
  <c r="L6" i="22"/>
  <c r="K57" i="35"/>
  <c r="K59" i="35"/>
  <c r="K15" i="22"/>
  <c r="K7" i="22"/>
  <c r="I31" i="22"/>
  <c r="I32" i="22"/>
  <c r="L14" i="21"/>
  <c r="M11" i="21" s="1"/>
  <c r="L13" i="21"/>
  <c r="X30" i="35" l="1"/>
  <c r="X24" i="35"/>
  <c r="X21" i="35"/>
  <c r="X22" i="35"/>
  <c r="X29" i="35"/>
  <c r="X23" i="35"/>
  <c r="K25" i="22"/>
  <c r="X28" i="35"/>
  <c r="X13" i="35"/>
  <c r="X14" i="35"/>
  <c r="X18" i="35"/>
  <c r="X9" i="35"/>
  <c r="X31" i="35"/>
  <c r="X25" i="35"/>
  <c r="X19" i="35"/>
  <c r="X10" i="35"/>
  <c r="J29" i="19"/>
  <c r="X32" i="35"/>
  <c r="X20" i="35"/>
  <c r="X11" i="35"/>
  <c r="K16" i="22"/>
  <c r="J28" i="19" s="1"/>
  <c r="X26" i="35"/>
  <c r="X8" i="35"/>
  <c r="X17" i="35"/>
  <c r="X12" i="35"/>
  <c r="X16" i="35"/>
  <c r="X27" i="35"/>
  <c r="X15" i="35"/>
  <c r="M13" i="21"/>
  <c r="M14" i="21"/>
  <c r="N11" i="21" s="1"/>
  <c r="M6" i="22"/>
  <c r="L57" i="35"/>
  <c r="L15" i="22"/>
  <c r="L59" i="35"/>
  <c r="L7" i="22"/>
  <c r="L55" i="35"/>
  <c r="L18" i="21"/>
  <c r="L17" i="21"/>
  <c r="L19" i="21" s="1"/>
  <c r="J32" i="22"/>
  <c r="J31" i="22"/>
  <c r="Y22" i="35" l="1"/>
  <c r="Y29" i="35"/>
  <c r="Y23" i="35"/>
  <c r="L25" i="22"/>
  <c r="Y28" i="35"/>
  <c r="Y13" i="35"/>
  <c r="Y14" i="35"/>
  <c r="Y27" i="35"/>
  <c r="Y15" i="35"/>
  <c r="Y31" i="35"/>
  <c r="Y25" i="35"/>
  <c r="Y19" i="35"/>
  <c r="Y10" i="35"/>
  <c r="Y32" i="35"/>
  <c r="Y20" i="35"/>
  <c r="Y11" i="35"/>
  <c r="Y30" i="35"/>
  <c r="Y24" i="35"/>
  <c r="Y21" i="35"/>
  <c r="Y8" i="35"/>
  <c r="Y17" i="35"/>
  <c r="Y16" i="35"/>
  <c r="Y12" i="35"/>
  <c r="Y26" i="35"/>
  <c r="Y9" i="35"/>
  <c r="Y18" i="35"/>
  <c r="L16" i="22"/>
  <c r="M57" i="35"/>
  <c r="M59" i="35"/>
  <c r="M15" i="22"/>
  <c r="M7" i="22"/>
  <c r="M55" i="35"/>
  <c r="N6" i="22"/>
  <c r="K31" i="22"/>
  <c r="K32" i="22"/>
  <c r="N13" i="21"/>
  <c r="M17" i="21"/>
  <c r="M18" i="21"/>
  <c r="N17" i="21" l="1"/>
  <c r="N18" i="21"/>
  <c r="N59" i="35"/>
  <c r="N15" i="22"/>
  <c r="N7" i="22"/>
  <c r="N55" i="35"/>
  <c r="O6" i="22"/>
  <c r="N57" i="35"/>
  <c r="Z29" i="35"/>
  <c r="Z23" i="35"/>
  <c r="M25" i="22"/>
  <c r="Z28" i="35"/>
  <c r="Z13" i="35"/>
  <c r="Z14" i="35"/>
  <c r="M16" i="22"/>
  <c r="Z27" i="35"/>
  <c r="Z15" i="35"/>
  <c r="Z16" i="35"/>
  <c r="Z32" i="35"/>
  <c r="Z20" i="35"/>
  <c r="Z11" i="35"/>
  <c r="Z30" i="35"/>
  <c r="Z24" i="35"/>
  <c r="Z21" i="35"/>
  <c r="Z22" i="35"/>
  <c r="Z8" i="35"/>
  <c r="Z31" i="35"/>
  <c r="Z17" i="35"/>
  <c r="Z12" i="35"/>
  <c r="Z26" i="35"/>
  <c r="Z10" i="35"/>
  <c r="Z9" i="35"/>
  <c r="Z25" i="35"/>
  <c r="Z18" i="35"/>
  <c r="Z19" i="35"/>
  <c r="L31" i="22"/>
  <c r="L32" i="22"/>
  <c r="M19" i="21"/>
  <c r="N14" i="21"/>
  <c r="O11" i="21" s="1"/>
  <c r="O15" i="22" l="1"/>
  <c r="O7" i="22"/>
  <c r="O18" i="22"/>
  <c r="N25" i="22"/>
  <c r="AA28" i="35"/>
  <c r="AA13" i="35"/>
  <c r="AA14" i="35"/>
  <c r="AA27" i="35"/>
  <c r="AA15" i="35"/>
  <c r="N16" i="22"/>
  <c r="AA16" i="35"/>
  <c r="AA26" i="35"/>
  <c r="AA17" i="35"/>
  <c r="AA12" i="35"/>
  <c r="AA8" i="35"/>
  <c r="AA30" i="35"/>
  <c r="AA24" i="35"/>
  <c r="AA21" i="35"/>
  <c r="AA22" i="35"/>
  <c r="AA29" i="35"/>
  <c r="AA23" i="35"/>
  <c r="AA20" i="35"/>
  <c r="AA19" i="35"/>
  <c r="AA10" i="35"/>
  <c r="AA32" i="35"/>
  <c r="AA9" i="35"/>
  <c r="AA18" i="35"/>
  <c r="AA31" i="35"/>
  <c r="AA25" i="35"/>
  <c r="AA11" i="35"/>
  <c r="M31" i="22"/>
  <c r="M32" i="22"/>
  <c r="O13" i="21"/>
  <c r="N19" i="21"/>
  <c r="N31" i="22" l="1"/>
  <c r="N32" i="22"/>
  <c r="O20" i="22"/>
  <c r="H25" i="35"/>
  <c r="H26" i="35" s="1"/>
  <c r="H27" i="35" s="1"/>
  <c r="O59" i="35" s="1"/>
  <c r="G25" i="35"/>
  <c r="G26" i="35" s="1"/>
  <c r="G27" i="35" s="1"/>
  <c r="O57" i="35" s="1"/>
  <c r="F25" i="35"/>
  <c r="F26" i="35" s="1"/>
  <c r="F27" i="35" s="1"/>
  <c r="O55" i="35" s="1"/>
  <c r="AB28" i="35"/>
  <c r="E39" i="35" s="1"/>
  <c r="AB13" i="35"/>
  <c r="E36" i="35" s="1"/>
  <c r="AB14" i="35"/>
  <c r="F36" i="35" s="1"/>
  <c r="AB27" i="35"/>
  <c r="I38" i="35" s="1"/>
  <c r="AB15" i="35"/>
  <c r="G36" i="35" s="1"/>
  <c r="AB16" i="35"/>
  <c r="H36" i="35" s="1"/>
  <c r="O16" i="22"/>
  <c r="AB26" i="35"/>
  <c r="H38" i="35" s="1"/>
  <c r="AB17" i="35"/>
  <c r="I36" i="35" s="1"/>
  <c r="AB12" i="35"/>
  <c r="I35" i="35" s="1"/>
  <c r="AB8" i="35"/>
  <c r="E35" i="35" s="1"/>
  <c r="AB18" i="35"/>
  <c r="E37" i="35" s="1"/>
  <c r="AB9" i="35"/>
  <c r="F35" i="35" s="1"/>
  <c r="AB22" i="35"/>
  <c r="I37" i="35" s="1"/>
  <c r="K29" i="19"/>
  <c r="AB29" i="35"/>
  <c r="F39" i="35" s="1"/>
  <c r="AB23" i="35"/>
  <c r="E38" i="35" s="1"/>
  <c r="AB30" i="35"/>
  <c r="G39" i="35" s="1"/>
  <c r="AB24" i="35"/>
  <c r="F38" i="35" s="1"/>
  <c r="AB20" i="35"/>
  <c r="G37" i="35" s="1"/>
  <c r="AB25" i="35"/>
  <c r="G38" i="35" s="1"/>
  <c r="AB10" i="35"/>
  <c r="G35" i="35" s="1"/>
  <c r="AB32" i="35"/>
  <c r="I39" i="35" s="1"/>
  <c r="AB19" i="35"/>
  <c r="F37" i="35" s="1"/>
  <c r="AB31" i="35"/>
  <c r="H39" i="35" s="1"/>
  <c r="AB11" i="35"/>
  <c r="H35" i="35" s="1"/>
  <c r="AB21" i="35"/>
  <c r="H37" i="35" s="1"/>
  <c r="O18" i="21"/>
  <c r="O17" i="21"/>
  <c r="O19" i="21" s="1"/>
  <c r="O14" i="21"/>
  <c r="P11" i="21" s="1"/>
  <c r="G28" i="35" l="1"/>
  <c r="G29" i="35"/>
  <c r="G11" i="35"/>
  <c r="I5" i="19"/>
  <c r="O21" i="22"/>
  <c r="O23" i="22" s="1"/>
  <c r="F28" i="35"/>
  <c r="F29" i="35"/>
  <c r="H28" i="35"/>
  <c r="H29" i="35"/>
  <c r="P13" i="21"/>
  <c r="P14" i="21" s="1"/>
  <c r="K7" i="19"/>
  <c r="K28" i="19"/>
  <c r="E38" i="22"/>
  <c r="Q14" i="21" l="1"/>
  <c r="E23" i="21"/>
  <c r="M12" i="35"/>
  <c r="I6" i="19"/>
  <c r="O25" i="22"/>
  <c r="P18" i="21"/>
  <c r="Q18" i="21" s="1"/>
  <c r="P17" i="21"/>
  <c r="Q13" i="21"/>
  <c r="E24" i="21"/>
  <c r="E26" i="21" l="1"/>
  <c r="K6" i="19"/>
  <c r="P19" i="21"/>
  <c r="Q19" i="21" s="1"/>
  <c r="Q17" i="21"/>
  <c r="O31" i="22"/>
  <c r="O32" i="22"/>
  <c r="E36" i="22" s="1"/>
  <c r="I8" i="19" s="1"/>
  <c r="E35" i="22" l="1"/>
  <c r="E37" i="22"/>
  <c r="I7" i="19" s="1"/>
  <c r="K5" i="19" l="1"/>
  <c r="E11" i="35"/>
</calcChain>
</file>

<file path=xl/sharedStrings.xml><?xml version="1.0" encoding="utf-8"?>
<sst xmlns="http://schemas.openxmlformats.org/spreadsheetml/2006/main" count="1066" uniqueCount="635">
  <si>
    <t>X</t>
  </si>
  <si>
    <t>Total Development Cost</t>
  </si>
  <si>
    <t>E4 Development – Equity Return Summary</t>
  </si>
  <si>
    <t>Base Case: Development PF → 2029 Refi → 10Y MUSINSA Master Lease → Exit</t>
  </si>
  <si>
    <t>Y1 NOI</t>
  </si>
  <si>
    <t>Gross Exit Value</t>
  </si>
  <si>
    <t>All-in Equity XIRR</t>
  </si>
  <si>
    <t>Equity</t>
  </si>
  <si>
    <t>Y1 Yield on Cost</t>
  </si>
  <si>
    <t>Net Equity Exit Proceeds</t>
  </si>
  <si>
    <t>Development PF Interest</t>
  </si>
  <si>
    <t>Development PF</t>
  </si>
  <si>
    <t>Stabilized Debt Rate</t>
  </si>
  <si>
    <t>Equity MOIC</t>
  </si>
  <si>
    <t>Y10 CoC</t>
  </si>
  <si>
    <t>Equity / Cost</t>
  </si>
  <si>
    <t>Y1 CoC</t>
  </si>
  <si>
    <t>Post-completion IRR</t>
  </si>
  <si>
    <t>Exit Cap Rate</t>
  </si>
  <si>
    <t>KEY CASH FLOW LOGIC</t>
  </si>
  <si>
    <t>Step</t>
  </si>
  <si>
    <t>Cash Flow</t>
  </si>
  <si>
    <t>Base Case</t>
  </si>
  <si>
    <t>Comment</t>
  </si>
  <si>
    <t>1. Development</t>
  </si>
  <si>
    <t>Equity Contribution</t>
  </si>
  <si>
    <t>(450.0)</t>
  </si>
  <si>
    <t>2026-10 land acquisition; 450억원 equity contribution</t>
  </si>
  <si>
    <t>2. Development</t>
  </si>
  <si>
    <t>Senior PF</t>
  </si>
  <si>
    <t>623.0</t>
  </si>
  <si>
    <t>5.75%, drawn over development; interest capitalized</t>
  </si>
  <si>
    <t>3. Stabilization</t>
  </si>
  <si>
    <t>Refinance</t>
  </si>
  <si>
    <t>4.75%, interest-only; development PF repaid</t>
  </si>
  <si>
    <t>4. Operation</t>
  </si>
  <si>
    <t>Y1 CF to Equity</t>
  </si>
  <si>
    <t>48.8</t>
  </si>
  <si>
    <t>NOI 78.4 less annual interest 29.6</t>
  </si>
  <si>
    <t>5. Exit</t>
  </si>
  <si>
    <t>Gross / Net Equity Exit</t>
  </si>
  <si>
    <t>2,341.4 / 1,695.0</t>
  </si>
  <si>
    <t>Y11 forward NOI ÷ 4.50% cap; 1.0% sale cost; repay 623 debt</t>
  </si>
  <si>
    <t>IMPORTANT RETURN RECONCILIATION</t>
  </si>
  <si>
    <t xml:space="preserve">준공 이후 IRR은 22.1% </t>
  </si>
  <si>
    <t>450억원의 자기자본은 2026년 토지 매입 시점에 투입되고, 현금배당은 2029년 준공 이후부터 시작되므로, 개발기간부터 Exit까지 전체 기간을 반영한 XIRR은 15.7%로 낮아짐.</t>
  </si>
  <si>
    <t>기존 무신사에서 제공한 임대료 예시가 아닌 자체 임대료 산출로 NOI 추정</t>
  </si>
  <si>
    <t>OPERATING CASH-ON-CASH PROFILE</t>
  </si>
  <si>
    <t>Metric</t>
  </si>
  <si>
    <t>Y1</t>
  </si>
  <si>
    <t>Y2</t>
  </si>
  <si>
    <t>Y3</t>
  </si>
  <si>
    <t>Y4</t>
  </si>
  <si>
    <t>Y5</t>
  </si>
  <si>
    <t>Y6</t>
  </si>
  <si>
    <t>Y10</t>
  </si>
  <si>
    <t>CoC</t>
  </si>
  <si>
    <t>CF to Equity</t>
  </si>
  <si>
    <t>E4 Development – Model Assumptions</t>
  </si>
  <si>
    <t>DEVELOPMENT COST &amp; CAPITAL STRUCTURE</t>
  </si>
  <si>
    <t>Assumption</t>
  </si>
  <si>
    <t>Value</t>
  </si>
  <si>
    <t>Unit</t>
  </si>
  <si>
    <t>Source / Rationale</t>
  </si>
  <si>
    <t>Editable?</t>
  </si>
  <si>
    <t>총 사업비</t>
  </si>
  <si>
    <t>억원</t>
  </si>
  <si>
    <t>User-updated input: Total Development Cost = 1,073억원</t>
  </si>
  <si>
    <t>Yes</t>
  </si>
  <si>
    <t>Land</t>
  </si>
  <si>
    <t>토지비</t>
  </si>
  <si>
    <t>User-provided E4 deck</t>
  </si>
  <si>
    <t>Construction</t>
  </si>
  <si>
    <t>공사비</t>
  </si>
  <si>
    <t>Design / TI / Tax / Contingency</t>
  </si>
  <si>
    <t>설계비 / TI / 세금 / 예비비</t>
  </si>
  <si>
    <t>Financing &amp; Other</t>
  </si>
  <si>
    <t>금융비용 및 기타비용</t>
  </si>
  <si>
    <t>Plug to reconcile updated TDC; equals financing fee + capitalized PF interest</t>
  </si>
  <si>
    <t>Total Equity</t>
  </si>
  <si>
    <t>총 자기자본</t>
  </si>
  <si>
    <t>Senior Development PF Facility</t>
  </si>
  <si>
    <t>선순위 개발 PF 대출</t>
  </si>
  <si>
    <t>Assumed +5억원 incremental PF to fund updated TDC while keeping equity at 450억원</t>
  </si>
  <si>
    <t>Initial Land PF</t>
  </si>
  <si>
    <t>초기 토지 PF 대출</t>
  </si>
  <si>
    <t>User-provided funding sequence</t>
  </si>
  <si>
    <t>Development PF Rate</t>
  </si>
  <si>
    <t>개발 PF 금리</t>
  </si>
  <si>
    <t>%</t>
  </si>
  <si>
    <t>Illustrative: ~100bp premium to stabilized office senior debt</t>
  </si>
  <si>
    <t>Development Financing Fee</t>
  </si>
  <si>
    <t>개발금융 수수료</t>
  </si>
  <si>
    <t>Solved so Financing &amp; Other reconciles to 64.1억원 at 5.75% PF rate</t>
  </si>
  <si>
    <t>STABILIZED OPERATING / EXIT ASSUMPTIONS</t>
  </si>
  <si>
    <t>Y1 Base Rental NOI</t>
  </si>
  <si>
    <t>1년차 기본 임대 NOI</t>
  </si>
  <si>
    <t>User-updated input: 784,008만원 annual NOI = 78.4008억원</t>
  </si>
  <si>
    <t>Annual NOI Growth</t>
  </si>
  <si>
    <t>연간 NOI 성장률</t>
  </si>
  <si>
    <t>3.0% contractual annual escalation</t>
  </si>
  <si>
    <t>Stabilized Senior Loan</t>
  </si>
  <si>
    <t>안정화 후 선순위 대출</t>
  </si>
  <si>
    <t>Assume full refinance of updated development PF at completion</t>
  </si>
  <si>
    <t>Stabilized Loan Rate</t>
  </si>
  <si>
    <t>안정화 후 대출 금리</t>
  </si>
  <si>
    <t>Illustrative base case; 2026 office senior debt near ~5% all-in</t>
  </si>
  <si>
    <t>Principal Amortization</t>
  </si>
  <si>
    <t>원금 상환</t>
  </si>
  <si>
    <t>Interest-only base case; bullet repayment at exit</t>
  </si>
  <si>
    <t>매각 Cap Rate</t>
  </si>
  <si>
    <t>Base case; Y11 forward NOI / cap rate</t>
  </si>
  <si>
    <t>Sale Cost</t>
  </si>
  <si>
    <t>매각 비용</t>
  </si>
  <si>
    <t>Illustrative transaction cost assumption</t>
  </si>
  <si>
    <t>Lease Term</t>
  </si>
  <si>
    <t>임대차 기간</t>
  </si>
  <si>
    <t>years</t>
  </si>
  <si>
    <t>MUSINSA 10Y master lease</t>
  </si>
  <si>
    <t>Land / Equity Close Date</t>
  </si>
  <si>
    <t>토지 매입 / Equity 납입일</t>
  </si>
  <si>
    <t>date</t>
  </si>
  <si>
    <t>Project schedule assumption</t>
  </si>
  <si>
    <t>Lease Commencement / Completion</t>
  </si>
  <si>
    <t>임대 개시일 / 준공일</t>
  </si>
  <si>
    <t>2029.07 completion assumption</t>
  </si>
  <si>
    <t>MARKET REFERENCE LINKS</t>
  </si>
  <si>
    <t>Topic</t>
  </si>
  <si>
    <t>Model Use</t>
  </si>
  <si>
    <t>Reference</t>
  </si>
  <si>
    <t>URL</t>
  </si>
  <si>
    <t>2026 PF market</t>
  </si>
  <si>
    <t>2026년 PF 시장</t>
  </si>
  <si>
    <t>Context only</t>
  </si>
  <si>
    <t>FSC PF market monitoring, July 2026</t>
  </si>
  <si>
    <t xml:space="preserve">https://www.fsc.go.kr/po010101/87252 </t>
  </si>
  <si>
    <t>Office senior debt</t>
  </si>
  <si>
    <t>오피스 선순위 대출</t>
  </si>
  <si>
    <t>Stabilized debt anchor</t>
  </si>
  <si>
    <t>SeoulPI: prime office senior debt near 5.0% all-in, Jun 2026</t>
  </si>
  <si>
    <t xml:space="preserve">https://seoulpi.io/article/00566835848106491904 </t>
  </si>
  <si>
    <t>Office senior debt history</t>
  </si>
  <si>
    <t>오피스 선순위 대출 추이</t>
  </si>
  <si>
    <t>Cross-check</t>
  </si>
  <si>
    <t>SeoulPI: Seoul office senior loan rates 3% high to 4% range, Jun 2025</t>
  </si>
  <si>
    <t xml:space="preserve">https://seoulpi.io/article/00436311156690305024 </t>
  </si>
  <si>
    <t>Stabilized Operating Cash Flow &amp; Exit (억원)</t>
  </si>
  <si>
    <t>Operating Year</t>
  </si>
  <si>
    <t>Y7</t>
  </si>
  <si>
    <t>Y8</t>
  </si>
  <si>
    <t>Y9</t>
  </si>
  <si>
    <t>Distribution Date</t>
  </si>
  <si>
    <t>NOI</t>
  </si>
  <si>
    <t>NOI Growth</t>
  </si>
  <si>
    <t>Beginning Senior Loan</t>
  </si>
  <si>
    <t>Cash Interest Rate</t>
  </si>
  <si>
    <t>Cash Interest</t>
  </si>
  <si>
    <t>Ending Senior Loan</t>
  </si>
  <si>
    <t>Cash Flow to Equity (Pre-Sale)</t>
  </si>
  <si>
    <t>Cash-on-Cash</t>
  </si>
  <si>
    <t>Forward NOI</t>
  </si>
  <si>
    <t>Debt Repayment at Exit</t>
  </si>
  <si>
    <t>Net Sale Proceeds</t>
  </si>
  <si>
    <t>Total Equity Cash Flow</t>
  </si>
  <si>
    <t>EQUITY RETURN BRIDGE</t>
  </si>
  <si>
    <t>Initial Equity</t>
  </si>
  <si>
    <t>Date</t>
  </si>
  <si>
    <t>Equity CF</t>
  </si>
  <si>
    <t>Operating-period CF</t>
  </si>
  <si>
    <t>Return Metric</t>
  </si>
  <si>
    <t>All-in Equity XIRR (incl. development)</t>
  </si>
  <si>
    <t>Post-completion Equity IRR</t>
  </si>
  <si>
    <t>Y1 / Y10 CoC</t>
  </si>
  <si>
    <t>Development PF Draw &amp; Capitalized Interest Schedule (억원)</t>
  </si>
  <si>
    <t>Period</t>
  </si>
  <si>
    <t>Closing</t>
  </si>
  <si>
    <t>2026Q4</t>
  </si>
  <si>
    <t>2027Q1</t>
  </si>
  <si>
    <t>2027Q2</t>
  </si>
  <si>
    <t>2027Q3</t>
  </si>
  <si>
    <t>2027Q4</t>
  </si>
  <si>
    <t>2028Q1</t>
  </si>
  <si>
    <t>2028Q2</t>
  </si>
  <si>
    <t>2028Q3</t>
  </si>
  <si>
    <t>2028Q4</t>
  </si>
  <si>
    <t>2029Q1</t>
  </si>
  <si>
    <t>2029Q2</t>
  </si>
  <si>
    <t>Total</t>
  </si>
  <si>
    <t>Non-land Cost Draw %</t>
  </si>
  <si>
    <t>Non-land Development Cost</t>
  </si>
  <si>
    <t>Land Cost</t>
  </si>
  <si>
    <t>Financing Fee</t>
  </si>
  <si>
    <t>Beginning PF Balance</t>
  </si>
  <si>
    <t>Initial / Incremental PF Draw</t>
  </si>
  <si>
    <t>Capitalized PF Interest</t>
  </si>
  <si>
    <t>Ending PF Balance</t>
  </si>
  <si>
    <t>Equity Draw</t>
  </si>
  <si>
    <t>Total Sources</t>
  </si>
  <si>
    <t>Total Uses</t>
  </si>
  <si>
    <t>Sources - Uses Check</t>
  </si>
  <si>
    <t>PF RECONCILIATION</t>
  </si>
  <si>
    <t>Final Development PF Balance</t>
  </si>
  <si>
    <t>Capitalized Interest</t>
  </si>
  <si>
    <t>Financing &amp; Other Total</t>
  </si>
  <si>
    <t>Total Development Cost Build-Up (만원)</t>
  </si>
  <si>
    <t>Overview</t>
  </si>
  <si>
    <t>Floor</t>
  </si>
  <si>
    <t>구분</t>
  </si>
  <si>
    <t>평</t>
  </si>
  <si>
    <t>12F</t>
  </si>
  <si>
    <t>Office</t>
  </si>
  <si>
    <t>11F</t>
  </si>
  <si>
    <t>10F</t>
  </si>
  <si>
    <t>9F</t>
  </si>
  <si>
    <t>8F</t>
  </si>
  <si>
    <t>Retail</t>
  </si>
  <si>
    <t>7F</t>
  </si>
  <si>
    <t>6F</t>
  </si>
  <si>
    <t>5F</t>
  </si>
  <si>
    <t>4F</t>
  </si>
  <si>
    <t>3F</t>
  </si>
  <si>
    <t>2F</t>
  </si>
  <si>
    <t>1F</t>
  </si>
  <si>
    <t>TOTAL DEVELOPMENT COST SUMMARY</t>
  </si>
  <si>
    <t>항목</t>
  </si>
  <si>
    <t>Low</t>
  </si>
  <si>
    <t>Base</t>
  </si>
  <si>
    <t>High</t>
  </si>
  <si>
    <t>Basis / Source</t>
  </si>
  <si>
    <t>만원</t>
  </si>
  <si>
    <t>토지 매입비</t>
  </si>
  <si>
    <t>Construction Cost</t>
  </si>
  <si>
    <t>Office + Retail 공사비</t>
  </si>
  <si>
    <t>Other Development Costs</t>
  </si>
  <si>
    <t>기타 개발비</t>
  </si>
  <si>
    <t>금융비용 포함 기타 개발비</t>
  </si>
  <si>
    <t>Land + Construction + Other</t>
  </si>
  <si>
    <t>총 사업비 (억원)</t>
  </si>
  <si>
    <t>표시 단위 변환</t>
  </si>
  <si>
    <t>Model Note</t>
  </si>
  <si>
    <t>CONSTRUCTION COST BUILD-UP</t>
  </si>
  <si>
    <t>Office Area</t>
  </si>
  <si>
    <t>오피스 연면적</t>
  </si>
  <si>
    <t>기존 모델 면적</t>
  </si>
  <si>
    <t>Retail Area</t>
  </si>
  <si>
    <t>리테일 연면적</t>
  </si>
  <si>
    <t>Office Unit Construction Cost</t>
  </si>
  <si>
    <t>오피스 평당 공사비</t>
  </si>
  <si>
    <t>만원/평</t>
  </si>
  <si>
    <t>Peer benchmark</t>
  </si>
  <si>
    <t>Retail Unit Construction Cost</t>
  </si>
  <si>
    <t>리테일 평당 공사비</t>
  </si>
  <si>
    <t>Office Construction Cost</t>
  </si>
  <si>
    <t>오피스 공사비</t>
  </si>
  <si>
    <t>Area × Unit Cost</t>
  </si>
  <si>
    <t>Retail Construction Cost</t>
  </si>
  <si>
    <t>리테일 공사비</t>
  </si>
  <si>
    <t>Total Construction Cost</t>
  </si>
  <si>
    <t>총 공사비</t>
  </si>
  <si>
    <t>Office + Retail</t>
  </si>
  <si>
    <t>DEVELOPMENT COST ASSUMPTIONS</t>
  </si>
  <si>
    <t>기존 토지 매입비</t>
  </si>
  <si>
    <t>Design Fee</t>
  </si>
  <si>
    <t>설계비</t>
  </si>
  <si>
    <t>공사비의 2~4% / Base 3.0%</t>
  </si>
  <si>
    <t>Supervision Fee</t>
  </si>
  <si>
    <t>감리비</t>
  </si>
  <si>
    <t>공사비의 1~2% / Base 1.5%</t>
  </si>
  <si>
    <t>Design + Supervision</t>
  </si>
  <si>
    <t>설계 + 감리</t>
  </si>
  <si>
    <t>공사비의 3~6% / Base 4.5%</t>
  </si>
  <si>
    <t>Tenant Improvement</t>
  </si>
  <si>
    <t>TI (Tenant Improvement)</t>
  </si>
  <si>
    <t>계약금액 30억 원</t>
  </si>
  <si>
    <t>Financing Cost</t>
  </si>
  <si>
    <t>금융비용</t>
  </si>
  <si>
    <t>기존 모델 Base 6.0%</t>
  </si>
  <si>
    <t>Acquisition Tax</t>
  </si>
  <si>
    <t>취득세</t>
  </si>
  <si>
    <t>토지매입가의 약 4.6%</t>
  </si>
  <si>
    <t>Other Development Cost</t>
  </si>
  <si>
    <t>총사업비의 2~4% / 기존 모델 3.0%</t>
  </si>
  <si>
    <t>Contingency</t>
  </si>
  <si>
    <t>예비비</t>
  </si>
  <si>
    <t>공사비의 3~5% / 기존 모델 5.0%</t>
  </si>
  <si>
    <t>OTHER DEVELOPMENT COST BUILD-UP</t>
  </si>
  <si>
    <t>Design Cost</t>
  </si>
  <si>
    <t>Construction × Design %</t>
  </si>
  <si>
    <t>Supervision Cost</t>
  </si>
  <si>
    <t>Construction × Supervision %</t>
  </si>
  <si>
    <t>Design + Supervision Cost</t>
  </si>
  <si>
    <t>Construction × Design+Supervision %</t>
  </si>
  <si>
    <t>TI</t>
  </si>
  <si>
    <t>Fixed TI</t>
  </si>
  <si>
    <t>Land × Acquisition Tax %</t>
  </si>
  <si>
    <t>Construction × Other Dev. %</t>
  </si>
  <si>
    <t>Construction × Contingency %</t>
  </si>
  <si>
    <t>Other Cost Subtotal</t>
  </si>
  <si>
    <t>금융비용 전 기타비용</t>
  </si>
  <si>
    <t>SUM of rows above</t>
  </si>
  <si>
    <t>Pre-Financing Subtotal × Financing %</t>
  </si>
  <si>
    <t>Other Development Costs Total</t>
  </si>
  <si>
    <t>기타 개발비 Total</t>
  </si>
  <si>
    <t>Subtotal + Financing</t>
  </si>
  <si>
    <t>PEER CONSTRUCTION COST BENCHMARK</t>
  </si>
  <si>
    <t>서울 A급 오피스 ~ 성수/CBD 고사양 | BAUM CM Construction Cost Estimate + 서울 오피스 시장 참고</t>
  </si>
  <si>
    <t>일반 근린상업시설 ~ 프리미엄 리테일 | BAUM CM Commercial Benchmark + 시장 사례 종합 추정</t>
  </si>
  <si>
    <t>Notes</t>
  </si>
  <si>
    <t>Low / Base / High의 차이는 기존 모델과 동일하게 주로 Office / Retail 평당 공사비 시나리오에서 발생하며, 기타 비용률은 기존 Base 가정을 공통 적용.</t>
  </si>
  <si>
    <t>Summary</t>
  </si>
  <si>
    <t>Peer 거래를 통한 Exit Value 보조 추정</t>
  </si>
  <si>
    <t>Exit Value 2,341억의 현재 가치(2026년) 환산은 878 ~ 1,114억으로 추정되며, 이때의 평당 거래 금액은 2971 ~ 3769만원으로 Most Relevant Case와 유사</t>
  </si>
  <si>
    <t>Discount Rate</t>
  </si>
  <si>
    <t>2039 Exit Value</t>
  </si>
  <si>
    <t>2026 Present Value (억원)</t>
  </si>
  <si>
    <t>평당 거래 금액 (만원)</t>
  </si>
  <si>
    <t>2,341억</t>
  </si>
  <si>
    <t>2026년도 기준</t>
  </si>
  <si>
    <t>Average (With Outlier)</t>
  </si>
  <si>
    <t>Average (Without Outlier)</t>
  </si>
  <si>
    <t>Median (With Outlier)</t>
  </si>
  <si>
    <t>Median (Without Outlier)</t>
  </si>
  <si>
    <t>Peer Transaction Value Summary</t>
  </si>
  <si>
    <t>연면적(평)</t>
  </si>
  <si>
    <t>Most Relevant Case 기반 가치 산정</t>
  </si>
  <si>
    <t>Average 기반 가치 산정</t>
  </si>
  <si>
    <t>Median 기반 가치 산정</t>
  </si>
  <si>
    <t>적용 평당 거래 금액</t>
  </si>
  <si>
    <t>Exit Value Reasoning</t>
  </si>
  <si>
    <t>거래 시기</t>
  </si>
  <si>
    <t>도로명</t>
  </si>
  <si>
    <t>거래 금액</t>
  </si>
  <si>
    <t>용도</t>
  </si>
  <si>
    <t>출처</t>
  </si>
  <si>
    <t>평당 거래 금액</t>
  </si>
  <si>
    <t>비고</t>
  </si>
  <si>
    <t>뚝섬로</t>
  </si>
  <si>
    <t>제1종 근생</t>
  </si>
  <si>
    <t>국토교통부 실거래가 공개시스템</t>
  </si>
  <si>
    <t>성수이로10길</t>
  </si>
  <si>
    <t>제2종 근생</t>
  </si>
  <si>
    <t>연무장13길</t>
  </si>
  <si>
    <t>상업용</t>
  </si>
  <si>
    <t>광나루로</t>
  </si>
  <si>
    <t>광나루로4가길</t>
  </si>
  <si>
    <t>아차산로17길</t>
  </si>
  <si>
    <t>뚝섬로9길</t>
  </si>
  <si>
    <t>연무장길</t>
  </si>
  <si>
    <t>성수일로10길</t>
  </si>
  <si>
    <t xml:space="preserve">https://en.sedaily.com/finance/2026/02/26/mastern-investment-exits-seongsu-office-deal-with-40 </t>
  </si>
  <si>
    <t>Most Relevant Peer</t>
  </si>
  <si>
    <t>SEONGSU E4 | RENT BENCHMARK DASHBOARD</t>
  </si>
  <si>
    <t>성수동은 팝업스토어와 플래그십 스토어 수요가 강해 리테일 임대료가 일반 오피스보다 높게 형성되는 시장</t>
  </si>
  <si>
    <t>일반 리테일·오피스 임대료는 높은 수준으로 언급되며, 팝업 공간에는 추가 프리미엄이 붙는 사례가 존재.</t>
  </si>
  <si>
    <t>Monthly Base Rent 65,334만원 기준 NOI 산출</t>
  </si>
  <si>
    <t>OFFICE RENT BENCHMARK | 만원/평·월</t>
  </si>
  <si>
    <t>RETAIL RENT BENCHMARK | 만원/평·월</t>
  </si>
  <si>
    <t>Avg excl. K2</t>
  </si>
  <si>
    <t>Avg no outlier</t>
  </si>
  <si>
    <t>Median</t>
  </si>
  <si>
    <t>Most relevant</t>
  </si>
  <si>
    <t>Avg excl. low outlier</t>
  </si>
  <si>
    <t>Core 2 avg</t>
  </si>
  <si>
    <t>ILLUSTRATIVE BASE RENT ROLL</t>
  </si>
  <si>
    <t>Benchmark</t>
  </si>
  <si>
    <t>Rent / py</t>
  </si>
  <si>
    <t>Office Avg excl. K2</t>
  </si>
  <si>
    <t>Base Rent / py</t>
  </si>
  <si>
    <t>Office Avg no outlier</t>
  </si>
  <si>
    <t>Target Area (py)</t>
  </si>
  <si>
    <t>Office Median</t>
  </si>
  <si>
    <t>Monthly Base Rent (만원)</t>
  </si>
  <si>
    <t>Office Most relevant</t>
  </si>
  <si>
    <t>Monthly Mgmt. Fee (만원)</t>
  </si>
  <si>
    <t>Retail Avg excl. low</t>
  </si>
  <si>
    <t>Monthly Occupancy Cost (만원)</t>
  </si>
  <si>
    <t>Retail Median</t>
  </si>
  <si>
    <t>Retail Core 2 avg</t>
  </si>
  <si>
    <t>Retail Most relevant</t>
  </si>
  <si>
    <t>Model note | Default Base assumptions are illustrative for visualization only. They remain fully editable and are not a source-derived investment recommendation.</t>
  </si>
  <si>
    <t>METHODOLOGY &amp; SOURCE NOTES</t>
  </si>
  <si>
    <t>Source-Derived Market Summary</t>
  </si>
  <si>
    <t>Market Observation</t>
  </si>
  <si>
    <t>성수동은 팝업스토어와 플래그십 스토어 수요가 강해 리테일 임대료가 일반 오피스보다 높게 형성되는 것으로 정리됨.</t>
  </si>
  <si>
    <t>Office Benchmark</t>
  </si>
  <si>
    <t>Office peer set includes MUSINSA S1, Bomun 243, Nexus One, Corner 19, Baekyoung Seongsu Center and K2 Seongsu.</t>
  </si>
  <si>
    <t>Retail Benchmark</t>
  </si>
  <si>
    <t>Retail peer set includes Seongsu 2-ga near MUSINSA/Gentle Monster, Yeonmujang-gil and Seongsu Station retail examples.</t>
  </si>
  <si>
    <t>Outlier Handling</t>
  </si>
  <si>
    <t>Source summary excludes the K2 legacy-discount office case from the primary office average and excludes the low-rent Yeonmujang entry case from the primary retail average.</t>
  </si>
  <si>
    <t>Modeling Convention</t>
  </si>
  <si>
    <t>Blue/yellow = editable assumption; black = formula; green = cross-sheet link; zeros shown as '-'.</t>
  </si>
  <si>
    <t>Reference URLs</t>
  </si>
  <si>
    <t>Type</t>
  </si>
  <si>
    <t>무신사 성수 S1 12층</t>
  </si>
  <si>
    <t>https://www.bluepinrealty.co.kr/properties/3743</t>
  </si>
  <si>
    <t>무신사 성수 S1 7층</t>
  </si>
  <si>
    <t>https://www.bluepinrealty.co.kr/properties/3744</t>
  </si>
  <si>
    <t>보문243빌딩 7층</t>
  </si>
  <si>
    <t>https://realmir.co.kr/item/view/65830</t>
  </si>
  <si>
    <t>넥서스원 2층·3층</t>
  </si>
  <si>
    <t>https://drawingoffice.co.kr/building/1848</t>
  </si>
  <si>
    <t>코너19 3층·4층</t>
  </si>
  <si>
    <t>https://drawingoffice.co.kr/building/441</t>
  </si>
  <si>
    <t>백영성수센터 3층·12층</t>
  </si>
  <si>
    <t>https://drawingoffice.co.kr/building/2100</t>
  </si>
  <si>
    <t>ALL ABOUT K2 성수사거리점 5층</t>
  </si>
  <si>
    <t>https://www.bluepinrealty.co.kr/properties/3863</t>
  </si>
  <si>
    <t>성수동2가 1층, 14.8평</t>
  </si>
  <si>
    <t>https://realty.daangn.com/articles/4103051</t>
  </si>
  <si>
    <t>연무장길 1층, 16평</t>
  </si>
  <si>
    <t>https://realty.daangn.com/articles/4118688</t>
  </si>
  <si>
    <t>성수역 오피스빌딩 1층, 15평</t>
  </si>
  <si>
    <t>https://realty.daangn.com/articles/4061429</t>
  </si>
  <si>
    <t>연무장길 초입 1층, 약 17평</t>
  </si>
  <si>
    <t>https://realty.daangn.com/articles/3495796</t>
  </si>
  <si>
    <t>SEONGSU RENTAL PEER BENCHMARK</t>
  </si>
  <si>
    <t>Office / Retail asking rent peer set from the user-provided research table</t>
  </si>
  <si>
    <t>Location / Floor</t>
  </si>
  <si>
    <t>Area (py)</t>
  </si>
  <si>
    <t>Deposit (억원)</t>
  </si>
  <si>
    <t>Monthly Rent (만원)</t>
  </si>
  <si>
    <t>Guarantee (mo.)</t>
  </si>
  <si>
    <t>Mgmt. Fee (만원)</t>
  </si>
  <si>
    <t>Rent / py (만원/평·월)</t>
  </si>
  <si>
    <t>Mgmt. / py (만원/평·월)</t>
  </si>
  <si>
    <t>Relevance</t>
  </si>
  <si>
    <t>Source URL</t>
  </si>
  <si>
    <t>무신사 성수 S1 12F</t>
  </si>
  <si>
    <t>최우선</t>
  </si>
  <si>
    <t>무신사 성수 S1 7F</t>
  </si>
  <si>
    <t>보문243빌딩 7F</t>
  </si>
  <si>
    <t>우수</t>
  </si>
  <si>
    <t>넥서스원 2F</t>
  </si>
  <si>
    <t>넥서스원 3F</t>
  </si>
  <si>
    <t>코너19 3F</t>
  </si>
  <si>
    <t>보조</t>
  </si>
  <si>
    <t>코너19 4F</t>
  </si>
  <si>
    <t>백영성수센터 12F</t>
  </si>
  <si>
    <t>백영성수센터 3F</t>
  </si>
  <si>
    <t>K2 성수사거리점 5F</t>
  </si>
  <si>
    <t>구형 할인 사례</t>
  </si>
  <si>
    <t>성수동2가, 무신사·젠틀몬스터 인근 1F</t>
  </si>
  <si>
    <t>연무장길, 성수역 3·4번 출구 1F</t>
  </si>
  <si>
    <t>성수역 오피스빌딩 1F</t>
  </si>
  <si>
    <t>연무장길 초입 1F</t>
  </si>
  <si>
    <t>BENCHMARK CALCULATIONS</t>
  </si>
  <si>
    <t>Formula / Definition</t>
  </si>
  <si>
    <t>Mgmt. / py</t>
  </si>
  <si>
    <t>Office Avg (excl. K2 legacy discount)</t>
  </si>
  <si>
    <t>AVERAGE of Office rows 5:13</t>
  </si>
  <si>
    <t>Office Avg (excl. K2 + Baekyoung lower-end comps)</t>
  </si>
  <si>
    <t>AVERAGE of Office rows 5:11</t>
  </si>
  <si>
    <t>Office Median (excl. K2)</t>
  </si>
  <si>
    <t>MEDIAN of Office rows 5:13</t>
  </si>
  <si>
    <t>Office Most Relevant Peer</t>
  </si>
  <si>
    <t>MUSINSA Seongsu S1 asking rent</t>
  </si>
  <si>
    <t>Retail Avg (excl. low outlier)</t>
  </si>
  <si>
    <t>AVERAGE of Retail rows 15:17</t>
  </si>
  <si>
    <t>Retail Median (excl. low outlier)</t>
  </si>
  <si>
    <t>MEDIAN of Retail rows 15:17</t>
  </si>
  <si>
    <t>Retail Core 2 Peer Avg</t>
  </si>
  <si>
    <t>AVERAGE of two most location-relevant Retail peers</t>
  </si>
  <si>
    <t>Retail Most Relevant Peer</t>
  </si>
  <si>
    <t>Seongsu 2-ga near MUSINSA / Gentle Monster</t>
  </si>
  <si>
    <t>E4 TARGET RENT CALCULATION</t>
  </si>
  <si>
    <t>Illustrative floor-by-floor rent roll using editable benchmark assumptions. Blue/yellow cells are editable model inputs.</t>
  </si>
  <si>
    <t>MODEL ASSUMPTIONS (Editable)</t>
  </si>
  <si>
    <t>Office Base Rent</t>
  </si>
  <si>
    <t>만원/평·월</t>
  </si>
  <si>
    <t>Default = Office Avg excluding K2 + lower-end Baekyoung comps</t>
  </si>
  <si>
    <t>Retail Base Rent</t>
  </si>
  <si>
    <t>Default = Retail median excluding low outlier</t>
  </si>
  <si>
    <t>Office Mgmt. Fee</t>
  </si>
  <si>
    <t>Default = most relevant MUSINSA S1 peer average</t>
  </si>
  <si>
    <t>Retail Mgmt. Fee</t>
  </si>
  <si>
    <t>Default = average of known retail management-fee peers</t>
  </si>
  <si>
    <t>FLOOR-BY-FLOOR TARGET RENT ROLL</t>
  </si>
  <si>
    <t>TOTAL</t>
  </si>
  <si>
    <t>OFFICE BENCHMARK SENSITIVITY | 241 py Standard Floor</t>
  </si>
  <si>
    <t>Scenario</t>
  </si>
  <si>
    <t>Average (excl. K2)</t>
  </si>
  <si>
    <t>Average (No Outlier)</t>
  </si>
  <si>
    <t>Exit / risk downside framework → see 'Exit &amp; Risk Analysis' tab</t>
  </si>
  <si>
    <t>KEY EXIT / RISK FLAGS</t>
  </si>
  <si>
    <t>Base All-in Equity XIRR</t>
  </si>
  <si>
    <t>Base Exit Value</t>
  </si>
  <si>
    <t>Exit Cap</t>
  </si>
  <si>
    <t>Rollover Risk</t>
  </si>
  <si>
    <t>HIGH</t>
  </si>
  <si>
    <t>Senior Loan</t>
  </si>
  <si>
    <t>Y1 DSCR</t>
  </si>
  <si>
    <t>Refi LTV</t>
  </si>
  <si>
    <t>Exit CF Share</t>
  </si>
  <si>
    <t/>
  </si>
  <si>
    <t>BASE / DOWNSIDE / STRESS SCENARIO ANALYSIS</t>
  </si>
  <si>
    <t>Downside</t>
  </si>
  <si>
    <t>Stress</t>
  </si>
  <si>
    <t>Modeling Logic</t>
  </si>
  <si>
    <t>Renewal NOI Factor</t>
  </si>
  <si>
    <t>Construction Cost Overrun</t>
  </si>
  <si>
    <t>Completion Delay</t>
  </si>
  <si>
    <t>months</t>
  </si>
  <si>
    <t>Incremental Delay Carry</t>
  </si>
  <si>
    <t>Total Equity Required</t>
  </si>
  <si>
    <t>Forward NOI at Exit</t>
  </si>
  <si>
    <t>x</t>
  </si>
  <si>
    <t>ALL-IN EQUITY XIRR SENSITIVITY – EXIT CAP × RENEWAL NOI</t>
  </si>
  <si>
    <t>Renewal NOI / Exit Cap</t>
  </si>
  <si>
    <t>KEY RISK REGISTER &amp; UNDERWRITING RESPONSE</t>
  </si>
  <si>
    <t>Risk Category</t>
  </si>
  <si>
    <t>Modeled?</t>
  </si>
  <si>
    <t>Base Exposure</t>
  </si>
  <si>
    <t>Downside Mechanism</t>
  </si>
  <si>
    <t>Impact</t>
  </si>
  <si>
    <t>Mitigation / Underwriting Response</t>
  </si>
  <si>
    <t>Lease Rollover</t>
  </si>
  <si>
    <t>10Y MUSINSA lease broadly coincides with exit</t>
  </si>
  <si>
    <t>Renewal NOI factor 90% / 80%</t>
  </si>
  <si>
    <t>Exit Pricing</t>
  </si>
  <si>
    <t>4.50% base exit cap</t>
  </si>
  <si>
    <t>5.00% / 5.50% cap expansion</t>
  </si>
  <si>
    <t>Construction / Delay</t>
  </si>
  <si>
    <t>0% overrun, no delay</t>
  </si>
  <si>
    <t>+5% / +10% cost; +6 / +12 months</t>
  </si>
  <si>
    <t>Interest / Refi</t>
  </si>
  <si>
    <t>4.75% stabilized loan rate</t>
  </si>
  <si>
    <t>+50 / +100 bps refinancing rate</t>
  </si>
  <si>
    <t>Single Tenant</t>
  </si>
  <si>
    <t>Partial</t>
  </si>
  <si>
    <t>100% MUSINSA concentration</t>
  </si>
  <si>
    <t>Credit deterioration or non-renewal</t>
  </si>
  <si>
    <t>NOI Definition / Opex</t>
  </si>
  <si>
    <t>Watch</t>
  </si>
  <si>
    <t>Base rent is treated as rental NOI</t>
  </si>
  <si>
    <t>Owner-borne opex would reduce distributable NOI</t>
  </si>
  <si>
    <t>SCENARIO EQUITY CASH FLOW BRIDGE (억원)</t>
  </si>
  <si>
    <t>Base Date</t>
  </si>
  <si>
    <t>Base Equity CF</t>
  </si>
  <si>
    <t>Downside Date</t>
  </si>
  <si>
    <t>Downside Equity CF</t>
  </si>
  <si>
    <t>Stress Date</t>
  </si>
  <si>
    <t>Stress Equity CF</t>
  </si>
  <si>
    <t>REFINANCING CAPACITY CHECK</t>
  </si>
  <si>
    <t>Interpretation</t>
  </si>
  <si>
    <t>Implied Stabilized Value</t>
  </si>
  <si>
    <t>Debt Yield</t>
  </si>
  <si>
    <t>임대차 갱신, Exit Valuation, 공사비 및 리파이낸싱 리스크를 반영한 Base / Downside / Stress 시나리오 분석</t>
    <phoneticPr fontId="26" type="noConversion"/>
  </si>
  <si>
    <t>Terminal Value = 재계약 조정 Forward NOI ÷ Exit Cap Rate</t>
  </si>
  <si>
    <t>임대차 만기 및 재임대 리스크를 반영해 Y11 Forward NOI에 할인율 적용</t>
  </si>
  <si>
    <t>자산 매각 시 거래비용 차감</t>
  </si>
  <si>
    <t>금리 및 리파이낸싱 스트레스 반영; 대출 원금은 Base Case의 623억원으로 유지</t>
  </si>
  <si>
    <t>공사비 초과분은 추가 Equity 투입으로 조달한다고 가정</t>
  </si>
  <si>
    <t>공사 지연기간만큼 운영 배당 시점이 후행</t>
  </si>
  <si>
    <t>전체 Senior PF 잔액 × PF 금리 × 지연기간을 적용한 보수적 추가 금융비용 추정치</t>
  </si>
  <si>
    <t>기존 Equity + 공사비 초과분 + 지연에 따른 추가 Carry 비용</t>
  </si>
  <si>
    <t>재계약 / 재임대 결과를 반영해 조정한 Y11 Forward NOI</t>
  </si>
  <si>
    <t>재계약 조정 Forward NOI에 시나리오별 Exit Cap Rate를 적용해 자산가치 산출</t>
  </si>
  <si>
    <t>Gross Exit Value에서 매각비용과 Senior Debt 상환액을 차감</t>
  </si>
  <si>
    <t>개발기간 Equity 투입, 지연된 운영 배당, 시나리오별 Exit Proceeds를 모두 포함</t>
  </si>
  <si>
    <t>총 양(+)의 Equity Cash Flow ÷ 총 모델상 Equity 필요액</t>
  </si>
  <si>
    <t>NOI ÷ 현금이자; Base Model에서는 원금상환률 0% 유지</t>
  </si>
  <si>
    <t>조기 재계약을 추진하고, 대안으로 잔존 WALE를 확보한 상태에서 Y7–Y8 Exit 검토</t>
  </si>
  <si>
    <t>기관투자자 거래사례를 기준으로 Valuation을 설정하고, IC Case에서는 Cap Rate 민감도 분석을 유지</t>
  </si>
  <si>
    <t>GMP, 예비비 및 PF 여유한도를 확보하고, 월별 잔여공사비(Cost-to-Complete)를 모니터링</t>
  </si>
  <si>
    <t>보수적인 레버리지를 유지하고, 금리 헤지 및 조기 리파이낸싱을 검토</t>
  </si>
  <si>
    <t>보증금·보증·재무약정(Covenants)을 확보하고, 재계약 마일스톤 및 대체 임대계획을 수립</t>
  </si>
  <si>
    <t>Net Lease 조건을 확인하고, 그렇지 않을 경우 재산세·보험료·유지보수비·적립금 등을 추가 차감 반영</t>
  </si>
  <si>
    <t>높음</t>
    <phoneticPr fontId="26" type="noConversion"/>
  </si>
  <si>
    <t>중간</t>
    <phoneticPr fontId="26" type="noConversion"/>
  </si>
  <si>
    <t>Y1 NOI를 시나리오별 Cap Rate로 나누어 보수적인 자산가치 추정치로 활용</t>
  </si>
  <si>
    <t>낮은 모델상 레버리지가 자산가치 하락 압력에 대한 완충 역할을 제공</t>
  </si>
  <si>
    <t>안정화 이전 NOI 할인 조정이 없는 경우 기존 가정 유지</t>
  </si>
  <si>
    <t>금리 스트레스는 이자보상능력을 낮추지만, 그 영향은 시나리오 테이블에서 확인 가능</t>
  </si>
  <si>
    <t>보수적인 레버리지 구조를 기반으로 Base Case에서 15.7%의 All-in XIRR을 확보</t>
  </si>
  <si>
    <t>Downside / Stress에서도 11.4% / 7.6%의 수익률을 유지</t>
  </si>
  <si>
    <t>다만 Exit 수익 의존도가 높고 임대차 만기와 Exit 시점이 중첩되는 만큼, 조기 재계약 또는 만기 이전 Exit 전략이 핵심 리스크 관리 요소</t>
  </si>
  <si>
    <t>Summary</t>
    <phoneticPr fontId="26" type="noConversion"/>
  </si>
  <si>
    <t>Exit &amp; Risk Analysis</t>
    <phoneticPr fontId="26" type="noConversion"/>
  </si>
  <si>
    <t>기준 시나리오 수익률은 반드시 '매각 및 리스크 분석(Exit &amp; Risk Analysis)'의 하방·스트레스 분석과 함께 검토해야 하며, 특히 매각 Cap Rate, 임대차 만기, 공사비 증가 및 리파이낸싱 가정에 민감합니다.</t>
  </si>
  <si>
    <t>검토 유의사항</t>
  </si>
  <si>
    <t>총사업비, 매각가치 및 임대료 가정이 근거자료와 일치하는지 검증</t>
  </si>
  <si>
    <t>4. 근거자료 시트</t>
  </si>
  <si>
    <t>임대료, 금융조건, 매각 Cap Rate, 매각비용, 일정 및 운영가정을 확인</t>
  </si>
  <si>
    <t>3. 주요 가정</t>
  </si>
  <si>
    <t>기준 시나리오와 함께 하방·스트레스 시나리오 및 민감도 결과를 검토</t>
  </si>
  <si>
    <t>2. 매각 및 리스크 분석</t>
  </si>
  <si>
    <t>핵심 수익률, 자본구조, 현금흐름 구조 및 주요 결과를 우선 확인</t>
  </si>
  <si>
    <t>1. 요약 (Summary)</t>
  </si>
  <si>
    <t>05 | 권장 검토 순서</t>
  </si>
  <si>
    <t>각 시트 상단 표기 기준을 따름 (예: 억원 / 만원 / 평 / %)</t>
  </si>
  <si>
    <t>단위</t>
  </si>
  <si>
    <t>노란색 음영 — 검토자가 우선 확인해야 하는 주요 가정 또는 핵심 결과</t>
  </si>
  <si>
    <t>핵심 가정 / 결과</t>
  </si>
  <si>
    <t>초록색 글씨 — 다른 시트의 값을 참조하는 연결 수식</t>
  </si>
  <si>
    <t>시트 간 연결</t>
  </si>
  <si>
    <t>검정색 글씨 — 동일 시트 내 계산식 및 산출값</t>
  </si>
  <si>
    <t>수식</t>
  </si>
  <si>
    <t>파란색 글씨 — 사용자가 직접 변경하는 가정 및 시나리오 입력값</t>
  </si>
  <si>
    <t>직접 입력값</t>
  </si>
  <si>
    <t>04 | 모델 표기 규칙</t>
  </si>
  <si>
    <t>임대료 산정에 활용한 원천 데이터 및 보조자료 구간</t>
  </si>
  <si>
    <t>원천 데이터 &gt;&gt;&gt;</t>
  </si>
  <si>
    <t>용도·층별 비교사례를 바탕으로 최종 적용 임대료를 선정</t>
  </si>
  <si>
    <t>목표 임대료 (Target Rent)</t>
  </si>
  <si>
    <t>시장 임대료 벤치마킹에 활용한 비교사례 데이터</t>
  </si>
  <si>
    <t>비교사례 (Peer Comps)</t>
  </si>
  <si>
    <t>비교사례 정규화, 벤치마킹 및 목표 임대료 산정 방법론</t>
  </si>
  <si>
    <t>산정 방법론 (Methodology)</t>
  </si>
  <si>
    <t>오피스 / 리테일 최종 적용 임대료와 연간 임대수익을 요약</t>
  </si>
  <si>
    <t>임대료 요약 (임대료 Summary)</t>
  </si>
  <si>
    <t>03 | 임대료 / NOI 산출</t>
  </si>
  <si>
    <t>비교 거래사례와 시장 데이터를 활용한 매각 Cap Rate 및 매각가치 적정성 검토</t>
  </si>
  <si>
    <t>매각가치 근거 (Exit Value Reason)</t>
  </si>
  <si>
    <t>토지비·공사비·금융비용 등을 반영한 총사업비 산출 근거</t>
  </si>
  <si>
    <t>총사업비 (Total Development Cost)</t>
  </si>
  <si>
    <t>02 | 주요 가정 근거</t>
  </si>
  <si>
    <t>기준·하방·스트레스 시나리오, 매각 Cap Rate 민감도, 임대차 만기 및 리파이낸싱 리스크 분석</t>
  </si>
  <si>
    <t>매각 및 리스크 분석 (Exit &amp; Risk Analysis)</t>
  </si>
  <si>
    <t>개발기간 PF 인출, 자본화 이자 및 리파이낸싱 구조를 산출</t>
  </si>
  <si>
    <t>개발 PF (Dev PF)</t>
  </si>
  <si>
    <t>연도별 NOI, 이자비용, 에쿼티 현금흐름 및 매각대금을 산출</t>
  </si>
  <si>
    <t>운영 현금흐름 (Operating CF)</t>
  </si>
  <si>
    <t>운영·금융·개발·매각 관련 주요 가정을 설정하는 시트</t>
  </si>
  <si>
    <t>가정 (Assumptions)</t>
  </si>
  <si>
    <t>핵심 수익률과 전체 현금흐름 구조를 요약</t>
  </si>
  <si>
    <t>01 | 요약 및 현금흐름 / CoC</t>
  </si>
  <si>
    <t>기준 시나리오: 개발 PF → 2029년 리파이낸싱 → 무신사 10년 마스터리스 → 매각</t>
  </si>
  <si>
    <t>모델 구조 · 시트 구성 · 검토 가이드</t>
  </si>
  <si>
    <t>README</t>
    <phoneticPr fontId="26" type="noConversion"/>
  </si>
  <si>
    <t>X</t>
    <phoneticPr fontId="26" type="noConversion"/>
  </si>
  <si>
    <t>핵심 모델링 가정과 가치평가 근거를 정리</t>
    <phoneticPr fontId="26" type="noConversion"/>
  </si>
  <si>
    <t>모델에 적용된 임대료 및 NOI 가정의 시장 근거를 단계별로 검토</t>
    <phoneticPr fontId="26" type="noConversion"/>
  </si>
  <si>
    <t>재무모델 전반에 적용된 색상 및 표기 기준</t>
    <phoneticPr fontId="26" type="noConversion"/>
  </si>
  <si>
    <t>투자심사 또는 공모전 검토 시 권장하는 모델 확인 순서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</si>
</sst>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.0;[Red]\(#,##0.0\);\-"/>
    <numFmt numFmtId="177" formatCode="0.0%;[Red]\(0.0%\);\-"/>
    <numFmt numFmtId="178" formatCode="0.00\x"/>
    <numFmt numFmtId="179" formatCode="yyyy\-mm\-dd"/>
    <numFmt numFmtId="180" formatCode="0.00%;[Red]\(0.00%\);\-"/>
    <numFmt numFmtId="181" formatCode="#,##0;[Red]\(#,##0\);\-"/>
    <numFmt numFmtId="182" formatCode="#,##0.00;[Red]\(#,##0.00\);\-"/>
    <numFmt numFmtId="183" formatCode="0.0&quot; years&quot;"/>
    <numFmt numFmtId="184" formatCode="0.0%"/>
  </numFmts>
  <fonts count="44">
    <font>
      <sz val="11"/>
      <color theme="1"/>
      <name val="맑은 고딕"/>
    </font>
    <font>
      <sz val="11"/>
      <color theme="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0"/>
      <name val="맑은 고딕"/>
      <family val="3"/>
      <charset val="129"/>
    </font>
    <font>
      <sz val="11"/>
      <name val="Carlito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8000"/>
      <name val="맑은 고딕"/>
      <family val="3"/>
      <charset val="129"/>
    </font>
    <font>
      <sz val="11"/>
      <color theme="10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rgb="FF0080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theme="1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i/>
      <sz val="11"/>
      <color rgb="FF666666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2B2D30"/>
      <name val="맑은 고딕"/>
      <family val="3"/>
      <charset val="129"/>
    </font>
    <font>
      <i/>
      <sz val="11"/>
      <color rgb="FF6B6E72"/>
      <name val="맑은 고딕"/>
      <family val="3"/>
      <charset val="129"/>
    </font>
    <font>
      <i/>
      <sz val="11"/>
      <color rgb="FF2B2D30"/>
      <name val="맑은 고딕"/>
      <family val="3"/>
      <charset val="129"/>
    </font>
    <font>
      <sz val="11"/>
      <color rgb="FF6B6E72"/>
      <name val="맑은 고딕"/>
      <family val="3"/>
      <charset val="129"/>
    </font>
    <font>
      <sz val="8"/>
      <name val="돋움"/>
      <family val="3"/>
      <charset val="129"/>
    </font>
    <font>
      <sz val="9"/>
      <name val="맑은 고딕"/>
      <family val="3"/>
      <charset val="129"/>
    </font>
    <font>
      <sz val="9"/>
      <color theme="10"/>
      <name val="맑은 고딕"/>
      <family val="3"/>
      <charset val="129"/>
    </font>
    <font>
      <i/>
      <sz val="10"/>
      <color rgb="FF666666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rgb="FFC00000"/>
      <name val="맑은 고딕"/>
      <family val="3"/>
      <charset val="129"/>
    </font>
    <font>
      <sz val="11"/>
      <color rgb="FFA6A6A6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595959"/>
      <name val="맑은 고딕"/>
      <family val="3"/>
      <charset val="129"/>
    </font>
    <font>
      <sz val="10"/>
      <color rgb="FF555555"/>
      <name val="맑은 고딕"/>
      <family val="3"/>
      <charset val="129"/>
    </font>
    <font>
      <sz val="10"/>
      <color rgb="FF404040"/>
      <name val="맑은 고딕"/>
      <family val="3"/>
      <charset val="129"/>
    </font>
    <font>
      <i/>
      <sz val="12"/>
      <color rgb="FF202020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202020"/>
      <name val="맑은 고딕"/>
      <family val="3"/>
      <charset val="129"/>
    </font>
    <font>
      <sz val="10"/>
      <color rgb="FF0000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8000"/>
      <name val="맑은 고딕"/>
      <family val="3"/>
      <charset val="129"/>
    </font>
  </fonts>
  <fills count="2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1"/>
      </patternFill>
    </fill>
    <fill>
      <patternFill patternType="solid">
        <fgColor rgb="FFF3F6F9"/>
      </patternFill>
    </fill>
    <fill>
      <patternFill patternType="solid">
        <fgColor rgb="FF0B1F33"/>
      </patternFill>
    </fill>
    <fill>
      <patternFill patternType="solid">
        <fgColor rgb="FFFFF2CC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rgb="FFFFFFFF"/>
      </patternFill>
    </fill>
    <fill>
      <patternFill patternType="solid">
        <fgColor theme="1"/>
      </patternFill>
    </fill>
    <fill>
      <patternFill patternType="solid">
        <fgColor rgb="FFEEF1F5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rgb="FFE9F0F8"/>
      </patternFill>
    </fill>
    <fill>
      <patternFill patternType="solid">
        <fgColor rgb="FFF8F9FB"/>
      </patternFill>
    </fill>
    <fill>
      <patternFill patternType="solid">
        <fgColor rgb="FFFBF8F1"/>
      </patternFill>
    </fill>
    <fill>
      <patternFill patternType="solid">
        <fgColor rgb="FFF7FAFE"/>
      </patternFill>
    </fill>
    <fill>
      <patternFill patternType="solid">
        <fgColor rgb="FFFFFF00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1"/>
      </patternFill>
    </fill>
    <fill>
      <patternFill patternType="solid">
        <fgColor rgb="FF1F1F1F"/>
      </patternFill>
    </fill>
    <fill>
      <patternFill patternType="solid">
        <fgColor rgb="FFF3F6F9"/>
      </patternFill>
    </fill>
    <fill>
      <patternFill patternType="solid">
        <fgColor rgb="FFFFFF00"/>
      </patternFill>
    </fill>
    <fill>
      <patternFill patternType="solid">
        <fgColor rgb="FFF2F2F2"/>
      </patternFill>
    </fill>
    <fill>
      <patternFill patternType="solid">
        <fgColor theme="1"/>
        <bgColor indexed="64"/>
      </patternFill>
    </fill>
    <fill>
      <patternFill patternType="solid">
        <fgColor rgb="FFFFF200"/>
      </patternFill>
    </fill>
    <fill>
      <patternFill patternType="solid">
        <fgColor rgb="FF000000"/>
      </patternFill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0C397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/>
      <top/>
      <bottom style="thin">
        <color rgb="FFD9D9D9"/>
      </bottom>
      <diagonal/>
    </border>
    <border>
      <left/>
      <right/>
      <top style="thin">
        <color indexed="64"/>
      </top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 style="thin">
        <color rgb="FFD9D9D9"/>
      </bottom>
      <diagonal/>
    </border>
    <border>
      <left/>
      <right style="thin">
        <color indexed="64"/>
      </right>
      <top style="thin">
        <color indexed="64"/>
      </top>
      <bottom style="thin">
        <color rgb="FFD9D9D9"/>
      </bottom>
      <diagonal/>
    </border>
  </borders>
  <cellStyleXfs count="8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6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0" fontId="2" fillId="0" borderId="11">
      <alignment vertical="center"/>
    </xf>
  </cellStyleXfs>
  <cellXfs count="233">
    <xf numFmtId="0" fontId="0" fillId="0" borderId="0" xfId="0">
      <alignment vertical="center"/>
    </xf>
    <xf numFmtId="0" fontId="5" fillId="0" borderId="0" xfId="2" applyFont="1"/>
    <xf numFmtId="0" fontId="5" fillId="0" borderId="0" xfId="2" applyFont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7" fillId="8" borderId="0" xfId="4" applyFont="1" applyFill="1">
      <alignment vertical="center"/>
    </xf>
    <xf numFmtId="0" fontId="6" fillId="0" borderId="0" xfId="4">
      <alignment vertical="center"/>
    </xf>
    <xf numFmtId="0" fontId="7" fillId="8" borderId="0" xfId="4" applyFont="1" applyFill="1" applyAlignment="1">
      <alignment horizontal="right" vertical="center"/>
    </xf>
    <xf numFmtId="0" fontId="7" fillId="8" borderId="0" xfId="4" applyFont="1" applyFill="1" applyAlignment="1">
      <alignment horizontal="left" vertical="center"/>
    </xf>
    <xf numFmtId="181" fontId="7" fillId="8" borderId="0" xfId="4" applyNumberFormat="1" applyFont="1" applyFill="1" applyAlignment="1">
      <alignment horizontal="right" vertical="center"/>
    </xf>
    <xf numFmtId="176" fontId="8" fillId="8" borderId="0" xfId="4" applyNumberFormat="1" applyFont="1" applyFill="1" applyAlignment="1">
      <alignment horizontal="right" vertical="center"/>
    </xf>
    <xf numFmtId="2" fontId="8" fillId="8" borderId="0" xfId="4" applyNumberFormat="1" applyFont="1" applyFill="1" applyAlignment="1">
      <alignment horizontal="right" vertical="center"/>
    </xf>
    <xf numFmtId="0" fontId="10" fillId="8" borderId="0" xfId="4" applyFont="1" applyFill="1" applyAlignment="1">
      <alignment horizontal="left" vertical="center" wrapText="1"/>
    </xf>
    <xf numFmtId="0" fontId="7" fillId="8" borderId="6" xfId="4" applyFont="1" applyFill="1" applyBorder="1">
      <alignment vertical="center"/>
    </xf>
    <xf numFmtId="0" fontId="7" fillId="8" borderId="6" xfId="4" applyFont="1" applyFill="1" applyBorder="1" applyAlignment="1">
      <alignment horizontal="left" vertical="center"/>
    </xf>
    <xf numFmtId="0" fontId="12" fillId="5" borderId="0" xfId="4" applyFont="1" applyFill="1">
      <alignment vertical="center"/>
    </xf>
    <xf numFmtId="0" fontId="5" fillId="0" borderId="0" xfId="3" applyFont="1" applyAlignment="1">
      <alignment vertical="center"/>
    </xf>
    <xf numFmtId="177" fontId="15" fillId="0" borderId="0" xfId="3" applyNumberFormat="1" applyFont="1" applyAlignment="1">
      <alignment vertical="center"/>
    </xf>
    <xf numFmtId="176" fontId="15" fillId="0" borderId="0" xfId="3" applyNumberFormat="1" applyFont="1" applyAlignment="1">
      <alignment vertical="center"/>
    </xf>
    <xf numFmtId="0" fontId="5" fillId="4" borderId="0" xfId="3" applyFont="1" applyFill="1" applyAlignment="1">
      <alignment vertical="center"/>
    </xf>
    <xf numFmtId="176" fontId="15" fillId="2" borderId="0" xfId="3" applyNumberFormat="1" applyFont="1" applyFill="1" applyAlignment="1">
      <alignment vertical="center"/>
    </xf>
    <xf numFmtId="178" fontId="15" fillId="0" borderId="0" xfId="3" applyNumberFormat="1" applyFont="1" applyAlignment="1">
      <alignment vertical="center"/>
    </xf>
    <xf numFmtId="0" fontId="5" fillId="6" borderId="0" xfId="3" applyFont="1" applyFill="1" applyAlignment="1">
      <alignment vertical="center"/>
    </xf>
    <xf numFmtId="0" fontId="5" fillId="0" borderId="0" xfId="3" applyFont="1" applyAlignment="1">
      <alignment horizontal="center" vertical="center"/>
    </xf>
    <xf numFmtId="0" fontId="5" fillId="0" borderId="0" xfId="3" applyFont="1" applyAlignment="1">
      <alignment horizontal="left" vertical="center"/>
    </xf>
    <xf numFmtId="179" fontId="5" fillId="0" borderId="0" xfId="3" applyNumberFormat="1" applyFont="1" applyAlignment="1">
      <alignment horizontal="center" vertical="center"/>
    </xf>
    <xf numFmtId="176" fontId="15" fillId="0" borderId="0" xfId="3" applyNumberFormat="1" applyFont="1" applyAlignment="1">
      <alignment horizontal="right" vertical="center"/>
    </xf>
    <xf numFmtId="177" fontId="5" fillId="0" borderId="0" xfId="3" applyNumberFormat="1" applyFont="1" applyAlignment="1">
      <alignment horizontal="right" vertical="center"/>
    </xf>
    <xf numFmtId="0" fontId="5" fillId="0" borderId="0" xfId="3" applyFont="1" applyAlignment="1">
      <alignment horizontal="right" vertical="center"/>
    </xf>
    <xf numFmtId="177" fontId="15" fillId="0" borderId="0" xfId="3" applyNumberFormat="1" applyFont="1" applyAlignment="1">
      <alignment horizontal="right" vertical="center"/>
    </xf>
    <xf numFmtId="0" fontId="5" fillId="0" borderId="6" xfId="3" applyFont="1" applyBorder="1" applyAlignment="1">
      <alignment horizontal="left" vertical="center"/>
    </xf>
    <xf numFmtId="176" fontId="15" fillId="0" borderId="6" xfId="3" applyNumberFormat="1" applyFont="1" applyBorder="1" applyAlignment="1">
      <alignment horizontal="right" vertical="center"/>
    </xf>
    <xf numFmtId="176" fontId="5" fillId="0" borderId="0" xfId="3" applyNumberFormat="1" applyFont="1" applyAlignment="1">
      <alignment horizontal="right" vertical="center"/>
    </xf>
    <xf numFmtId="176" fontId="5" fillId="0" borderId="6" xfId="3" applyNumberFormat="1" applyFont="1" applyBorder="1" applyAlignment="1">
      <alignment horizontal="right" vertical="center"/>
    </xf>
    <xf numFmtId="178" fontId="15" fillId="0" borderId="0" xfId="3" applyNumberFormat="1" applyFont="1" applyAlignment="1">
      <alignment horizontal="right" vertical="center"/>
    </xf>
    <xf numFmtId="0" fontId="15" fillId="0" borderId="0" xfId="3" applyFont="1" applyAlignment="1">
      <alignment horizontal="right" vertical="center"/>
    </xf>
    <xf numFmtId="0" fontId="5" fillId="4" borderId="0" xfId="3" applyFont="1" applyFill="1" applyAlignment="1">
      <alignment horizontal="left" vertical="center"/>
    </xf>
    <xf numFmtId="0" fontId="5" fillId="4" borderId="0" xfId="3" applyFont="1" applyFill="1" applyAlignment="1">
      <alignment horizontal="center" vertical="center"/>
    </xf>
    <xf numFmtId="0" fontId="5" fillId="7" borderId="0" xfId="3" applyFont="1" applyFill="1" applyAlignment="1">
      <alignment horizontal="right" vertical="center"/>
    </xf>
    <xf numFmtId="179" fontId="5" fillId="0" borderId="0" xfId="3" applyNumberFormat="1" applyFont="1" applyAlignment="1">
      <alignment horizontal="right" vertical="center"/>
    </xf>
    <xf numFmtId="177" fontId="16" fillId="0" borderId="0" xfId="3" applyNumberFormat="1" applyFont="1" applyAlignment="1">
      <alignment horizontal="right" vertical="center"/>
    </xf>
    <xf numFmtId="177" fontId="15" fillId="7" borderId="0" xfId="3" applyNumberFormat="1" applyFont="1" applyFill="1" applyAlignment="1">
      <alignment horizontal="right" vertical="center"/>
    </xf>
    <xf numFmtId="176" fontId="15" fillId="7" borderId="0" xfId="3" applyNumberFormat="1" applyFont="1" applyFill="1" applyAlignment="1">
      <alignment horizontal="right" vertical="center"/>
    </xf>
    <xf numFmtId="176" fontId="15" fillId="7" borderId="6" xfId="3" applyNumberFormat="1" applyFont="1" applyFill="1" applyBorder="1" applyAlignment="1">
      <alignment horizontal="right" vertical="center"/>
    </xf>
    <xf numFmtId="176" fontId="15" fillId="0" borderId="6" xfId="3" applyNumberFormat="1" applyFont="1" applyBorder="1" applyAlignment="1">
      <alignment vertical="center"/>
    </xf>
    <xf numFmtId="0" fontId="5" fillId="0" borderId="6" xfId="3" applyFont="1" applyBorder="1" applyAlignment="1">
      <alignment vertical="center"/>
    </xf>
    <xf numFmtId="0" fontId="5" fillId="4" borderId="0" xfId="3" applyFont="1" applyFill="1" applyAlignment="1">
      <alignment horizontal="right" vertical="center"/>
    </xf>
    <xf numFmtId="0" fontId="17" fillId="0" borderId="0" xfId="1" applyFont="1" applyAlignment="1">
      <alignment vertical="center"/>
    </xf>
    <xf numFmtId="176" fontId="16" fillId="0" borderId="0" xfId="3" applyNumberFormat="1" applyFont="1" applyAlignment="1">
      <alignment vertical="center"/>
    </xf>
    <xf numFmtId="180" fontId="16" fillId="0" borderId="0" xfId="3" applyNumberFormat="1" applyFont="1" applyAlignment="1">
      <alignment vertical="center"/>
    </xf>
    <xf numFmtId="1" fontId="16" fillId="0" borderId="0" xfId="3" applyNumberFormat="1" applyFont="1" applyAlignment="1">
      <alignment vertical="center"/>
    </xf>
    <xf numFmtId="179" fontId="16" fillId="0" borderId="0" xfId="3" applyNumberFormat="1" applyFont="1" applyAlignment="1">
      <alignment vertical="center"/>
    </xf>
    <xf numFmtId="0" fontId="10" fillId="8" borderId="3" xfId="4" applyFont="1" applyFill="1" applyBorder="1" applyAlignment="1">
      <alignment horizontal="left" vertical="center" wrapText="1"/>
    </xf>
    <xf numFmtId="0" fontId="10" fillId="8" borderId="5" xfId="4" applyFont="1" applyFill="1" applyBorder="1" applyAlignment="1">
      <alignment horizontal="left" vertical="center" wrapText="1"/>
    </xf>
    <xf numFmtId="0" fontId="18" fillId="0" borderId="0" xfId="0" applyFont="1">
      <alignment vertical="center"/>
    </xf>
    <xf numFmtId="0" fontId="19" fillId="0" borderId="0" xfId="0" applyFont="1" applyAlignment="1">
      <alignment horizontal="left" vertical="center"/>
    </xf>
    <xf numFmtId="181" fontId="19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left" vertical="center"/>
    </xf>
    <xf numFmtId="176" fontId="20" fillId="0" borderId="0" xfId="0" applyNumberFormat="1" applyFont="1" applyAlignment="1">
      <alignment horizontal="right" vertical="center"/>
    </xf>
    <xf numFmtId="0" fontId="20" fillId="0" borderId="0" xfId="0" applyFont="1">
      <alignment vertical="center"/>
    </xf>
    <xf numFmtId="176" fontId="16" fillId="0" borderId="0" xfId="0" applyNumberFormat="1" applyFont="1" applyAlignment="1">
      <alignment horizontal="right" vertical="center"/>
    </xf>
    <xf numFmtId="176" fontId="19" fillId="0" borderId="0" xfId="0" applyNumberFormat="1" applyFont="1" applyAlignment="1">
      <alignment horizontal="right" vertical="center"/>
    </xf>
    <xf numFmtId="181" fontId="16" fillId="0" borderId="0" xfId="0" applyNumberFormat="1" applyFont="1" applyAlignment="1">
      <alignment horizontal="right" vertical="center"/>
    </xf>
    <xf numFmtId="177" fontId="16" fillId="0" borderId="0" xfId="0" applyNumberFormat="1" applyFont="1" applyAlignment="1">
      <alignment horizontal="right" vertical="center"/>
    </xf>
    <xf numFmtId="177" fontId="19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18" fillId="3" borderId="0" xfId="0" applyFont="1" applyFill="1">
      <alignment vertical="center"/>
    </xf>
    <xf numFmtId="0" fontId="2" fillId="0" borderId="0" xfId="0" applyFont="1">
      <alignment vertical="center"/>
    </xf>
    <xf numFmtId="0" fontId="13" fillId="3" borderId="0" xfId="0" applyFont="1" applyFill="1">
      <alignment vertical="center"/>
    </xf>
    <xf numFmtId="0" fontId="19" fillId="10" borderId="0" xfId="0" applyFont="1" applyFill="1" applyAlignment="1">
      <alignment horizontal="left" vertical="center"/>
    </xf>
    <xf numFmtId="0" fontId="19" fillId="10" borderId="0" xfId="0" applyFont="1" applyFill="1" applyAlignment="1">
      <alignment horizontal="right" vertical="center"/>
    </xf>
    <xf numFmtId="2" fontId="8" fillId="8" borderId="5" xfId="4" applyNumberFormat="1" applyFont="1" applyFill="1" applyBorder="1" applyAlignment="1">
      <alignment horizontal="right" vertical="center"/>
    </xf>
    <xf numFmtId="0" fontId="13" fillId="3" borderId="0" xfId="3" applyFont="1" applyFill="1" applyAlignment="1">
      <alignment vertical="center"/>
    </xf>
    <xf numFmtId="0" fontId="5" fillId="3" borderId="0" xfId="3" applyFont="1" applyFill="1" applyAlignment="1">
      <alignment vertical="center"/>
    </xf>
    <xf numFmtId="0" fontId="5" fillId="3" borderId="0" xfId="2" applyFont="1" applyFill="1"/>
    <xf numFmtId="0" fontId="13" fillId="3" borderId="0" xfId="3" applyFont="1" applyFill="1" applyAlignment="1">
      <alignment horizontal="left" vertical="center"/>
    </xf>
    <xf numFmtId="0" fontId="13" fillId="3" borderId="0" xfId="3" applyFont="1" applyFill="1" applyAlignment="1">
      <alignment horizontal="center" vertical="center"/>
    </xf>
    <xf numFmtId="0" fontId="5" fillId="3" borderId="0" xfId="3" applyFont="1" applyFill="1" applyAlignment="1">
      <alignment horizontal="center" vertical="center"/>
    </xf>
    <xf numFmtId="0" fontId="5" fillId="3" borderId="0" xfId="2" applyFont="1" applyFill="1" applyAlignment="1">
      <alignment horizontal="center" vertical="center"/>
    </xf>
    <xf numFmtId="181" fontId="21" fillId="8" borderId="0" xfId="4" applyNumberFormat="1" applyFont="1" applyFill="1" applyAlignment="1">
      <alignment horizontal="right" vertical="center"/>
    </xf>
    <xf numFmtId="181" fontId="7" fillId="8" borderId="1" xfId="4" applyNumberFormat="1" applyFont="1" applyFill="1" applyBorder="1">
      <alignment vertical="center"/>
    </xf>
    <xf numFmtId="0" fontId="7" fillId="3" borderId="0" xfId="4" applyFont="1" applyFill="1">
      <alignment vertical="center"/>
    </xf>
    <xf numFmtId="0" fontId="6" fillId="9" borderId="0" xfId="4" applyFill="1">
      <alignment vertical="center"/>
    </xf>
    <xf numFmtId="0" fontId="6" fillId="3" borderId="0" xfId="4" applyFill="1">
      <alignment vertical="center"/>
    </xf>
    <xf numFmtId="0" fontId="7" fillId="4" borderId="7" xfId="4" applyFont="1" applyFill="1" applyBorder="1" applyAlignment="1">
      <alignment horizontal="center" vertical="center"/>
    </xf>
    <xf numFmtId="0" fontId="6" fillId="0" borderId="3" xfId="4" applyBorder="1">
      <alignment vertical="center"/>
    </xf>
    <xf numFmtId="0" fontId="6" fillId="0" borderId="5" xfId="4" applyBorder="1">
      <alignment vertical="center"/>
    </xf>
    <xf numFmtId="0" fontId="6" fillId="0" borderId="5" xfId="4" applyBorder="1" applyAlignment="1">
      <alignment horizontal="center" vertical="center"/>
    </xf>
    <xf numFmtId="0" fontId="6" fillId="0" borderId="0" xfId="4" applyAlignment="1">
      <alignment horizontal="center" vertical="center"/>
    </xf>
    <xf numFmtId="0" fontId="6" fillId="0" borderId="0" xfId="4" applyAlignment="1">
      <alignment horizontal="right" vertical="center"/>
    </xf>
    <xf numFmtId="0" fontId="11" fillId="0" borderId="0" xfId="5" applyAlignment="1">
      <alignment vertical="center"/>
    </xf>
    <xf numFmtId="3" fontId="6" fillId="0" borderId="0" xfId="4" applyNumberFormat="1" applyAlignment="1">
      <alignment horizontal="right" vertical="center"/>
    </xf>
    <xf numFmtId="0" fontId="7" fillId="8" borderId="1" xfId="4" applyFont="1" applyFill="1" applyBorder="1">
      <alignment vertical="center"/>
    </xf>
    <xf numFmtId="0" fontId="9" fillId="8" borderId="0" xfId="4" applyFont="1" applyFill="1">
      <alignment vertical="center"/>
    </xf>
    <xf numFmtId="0" fontId="7" fillId="7" borderId="0" xfId="4" applyFont="1" applyFill="1">
      <alignment vertical="center"/>
    </xf>
    <xf numFmtId="0" fontId="6" fillId="7" borderId="0" xfId="4" applyFill="1">
      <alignment vertical="center"/>
    </xf>
    <xf numFmtId="181" fontId="6" fillId="7" borderId="0" xfId="4" applyNumberFormat="1" applyFill="1">
      <alignment vertical="center"/>
    </xf>
    <xf numFmtId="181" fontId="7" fillId="7" borderId="0" xfId="4" applyNumberFormat="1" applyFont="1" applyFill="1">
      <alignment vertical="center"/>
    </xf>
    <xf numFmtId="0" fontId="7" fillId="7" borderId="4" xfId="4" applyFont="1" applyFill="1" applyBorder="1" applyAlignment="1">
      <alignment horizontal="left" vertical="center"/>
    </xf>
    <xf numFmtId="0" fontId="7" fillId="7" borderId="2" xfId="4" applyFont="1" applyFill="1" applyBorder="1">
      <alignment vertical="center"/>
    </xf>
    <xf numFmtId="0" fontId="14" fillId="3" borderId="0" xfId="3" applyFont="1" applyFill="1" applyAlignment="1">
      <alignment vertical="center"/>
    </xf>
    <xf numFmtId="0" fontId="14" fillId="3" borderId="0" xfId="2" applyFont="1" applyFill="1"/>
    <xf numFmtId="0" fontId="5" fillId="7" borderId="0" xfId="3" applyFont="1" applyFill="1" applyAlignment="1">
      <alignment vertical="center"/>
    </xf>
    <xf numFmtId="0" fontId="5" fillId="7" borderId="0" xfId="2" applyFont="1" applyFill="1"/>
    <xf numFmtId="0" fontId="13" fillId="0" borderId="0" xfId="0" applyFont="1">
      <alignment vertical="center"/>
    </xf>
    <xf numFmtId="0" fontId="5" fillId="0" borderId="0" xfId="0" applyFont="1">
      <alignment vertical="center"/>
    </xf>
    <xf numFmtId="0" fontId="5" fillId="8" borderId="0" xfId="0" applyFont="1" applyFill="1">
      <alignment vertical="center"/>
    </xf>
    <xf numFmtId="0" fontId="14" fillId="0" borderId="0" xfId="0" applyFont="1">
      <alignment vertical="center"/>
    </xf>
    <xf numFmtId="0" fontId="5" fillId="0" borderId="3" xfId="0" applyFont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16" fillId="0" borderId="0" xfId="3" applyFont="1" applyAlignment="1">
      <alignment vertical="center"/>
    </xf>
    <xf numFmtId="0" fontId="22" fillId="12" borderId="0" xfId="3" applyFont="1" applyFill="1" applyAlignment="1">
      <alignment vertical="center"/>
    </xf>
    <xf numFmtId="0" fontId="5" fillId="12" borderId="0" xfId="3" applyFont="1" applyFill="1" applyAlignment="1">
      <alignment vertical="center"/>
    </xf>
    <xf numFmtId="0" fontId="23" fillId="0" borderId="0" xfId="3" applyFont="1" applyAlignment="1">
      <alignment vertical="center"/>
    </xf>
    <xf numFmtId="182" fontId="5" fillId="0" borderId="0" xfId="3" applyNumberFormat="1" applyFont="1" applyAlignment="1">
      <alignment vertical="center"/>
    </xf>
    <xf numFmtId="0" fontId="22" fillId="12" borderId="0" xfId="3" applyFont="1" applyFill="1" applyAlignment="1">
      <alignment horizontal="center" vertical="center"/>
    </xf>
    <xf numFmtId="0" fontId="16" fillId="15" borderId="0" xfId="3" applyFont="1" applyFill="1" applyAlignment="1">
      <alignment vertical="center"/>
    </xf>
    <xf numFmtId="182" fontId="16" fillId="15" borderId="0" xfId="3" applyNumberFormat="1" applyFont="1" applyFill="1" applyAlignment="1">
      <alignment vertical="center"/>
    </xf>
    <xf numFmtId="181" fontId="16" fillId="15" borderId="0" xfId="3" applyNumberFormat="1" applyFont="1" applyFill="1" applyAlignment="1">
      <alignment vertical="center"/>
    </xf>
    <xf numFmtId="0" fontId="16" fillId="14" borderId="0" xfId="3" applyFont="1" applyFill="1" applyAlignment="1">
      <alignment vertical="center"/>
    </xf>
    <xf numFmtId="182" fontId="16" fillId="14" borderId="0" xfId="3" applyNumberFormat="1" applyFont="1" applyFill="1" applyAlignment="1">
      <alignment vertical="center"/>
    </xf>
    <xf numFmtId="181" fontId="16" fillId="14" borderId="0" xfId="3" applyNumberFormat="1" applyFont="1" applyFill="1" applyAlignment="1">
      <alignment vertical="center"/>
    </xf>
    <xf numFmtId="176" fontId="5" fillId="0" borderId="0" xfId="3" applyNumberFormat="1" applyFont="1" applyAlignment="1">
      <alignment vertical="center"/>
    </xf>
    <xf numFmtId="182" fontId="15" fillId="0" borderId="0" xfId="3" applyNumberFormat="1" applyFont="1" applyAlignment="1">
      <alignment vertical="center"/>
    </xf>
    <xf numFmtId="0" fontId="5" fillId="12" borderId="0" xfId="3" applyFont="1" applyFill="1" applyAlignment="1">
      <alignment horizontal="center" vertical="center"/>
    </xf>
    <xf numFmtId="182" fontId="15" fillId="6" borderId="0" xfId="3" applyNumberFormat="1" applyFont="1" applyFill="1" applyAlignment="1">
      <alignment vertical="center"/>
    </xf>
    <xf numFmtId="0" fontId="22" fillId="13" borderId="8" xfId="3" applyFont="1" applyFill="1" applyBorder="1" applyAlignment="1">
      <alignment vertical="center"/>
    </xf>
    <xf numFmtId="176" fontId="22" fillId="13" borderId="8" xfId="3" applyNumberFormat="1" applyFont="1" applyFill="1" applyBorder="1" applyAlignment="1">
      <alignment vertical="center"/>
    </xf>
    <xf numFmtId="0" fontId="15" fillId="0" borderId="0" xfId="3" applyFont="1" applyAlignment="1">
      <alignment vertical="center"/>
    </xf>
    <xf numFmtId="0" fontId="24" fillId="6" borderId="0" xfId="3" applyFont="1" applyFill="1" applyAlignment="1">
      <alignment vertical="center" wrapText="1"/>
    </xf>
    <xf numFmtId="0" fontId="22" fillId="0" borderId="0" xfId="3" applyFont="1" applyAlignment="1">
      <alignment vertical="center"/>
    </xf>
    <xf numFmtId="0" fontId="25" fillId="12" borderId="0" xfId="3" applyFont="1" applyFill="1" applyAlignment="1">
      <alignment horizontal="center" vertical="center"/>
    </xf>
    <xf numFmtId="0" fontId="25" fillId="12" borderId="0" xfId="3" applyFont="1" applyFill="1" applyAlignment="1">
      <alignment horizontal="center" vertical="center" wrapText="1"/>
    </xf>
    <xf numFmtId="0" fontId="25" fillId="0" borderId="0" xfId="3" applyFont="1" applyAlignment="1">
      <alignment vertical="center"/>
    </xf>
    <xf numFmtId="182" fontId="15" fillId="8" borderId="0" xfId="3" applyNumberFormat="1" applyFont="1" applyFill="1" applyAlignment="1">
      <alignment horizontal="center" vertical="center"/>
    </xf>
    <xf numFmtId="0" fontId="5" fillId="0" borderId="1" xfId="3" applyFont="1" applyBorder="1" applyAlignment="1">
      <alignment vertical="center"/>
    </xf>
    <xf numFmtId="182" fontId="15" fillId="0" borderId="1" xfId="3" applyNumberFormat="1" applyFont="1" applyBorder="1" applyAlignment="1">
      <alignment vertical="center"/>
    </xf>
    <xf numFmtId="0" fontId="5" fillId="0" borderId="1" xfId="2" applyFont="1" applyBorder="1"/>
    <xf numFmtId="0" fontId="25" fillId="0" borderId="1" xfId="3" applyFont="1" applyBorder="1" applyAlignment="1">
      <alignment vertical="center"/>
    </xf>
    <xf numFmtId="176" fontId="8" fillId="0" borderId="0" xfId="0" applyNumberFormat="1" applyFont="1">
      <alignment vertical="center"/>
    </xf>
    <xf numFmtId="180" fontId="8" fillId="0" borderId="0" xfId="0" applyNumberFormat="1" applyFont="1">
      <alignment vertical="center"/>
    </xf>
    <xf numFmtId="177" fontId="15" fillId="16" borderId="0" xfId="3" applyNumberFormat="1" applyFont="1" applyFill="1" applyAlignment="1">
      <alignment vertical="center"/>
    </xf>
    <xf numFmtId="0" fontId="27" fillId="6" borderId="0" xfId="3" applyFont="1" applyFill="1" applyAlignment="1">
      <alignment vertical="center"/>
    </xf>
    <xf numFmtId="0" fontId="28" fillId="6" borderId="0" xfId="1" applyFont="1" applyFill="1" applyAlignment="1">
      <alignment vertical="center"/>
    </xf>
    <xf numFmtId="177" fontId="5" fillId="17" borderId="0" xfId="3" applyNumberFormat="1" applyFont="1" applyFill="1" applyAlignment="1">
      <alignment horizontal="right" vertical="center"/>
    </xf>
    <xf numFmtId="0" fontId="1" fillId="3" borderId="0" xfId="4" applyFont="1" applyFill="1">
      <alignment vertical="center"/>
    </xf>
    <xf numFmtId="0" fontId="7" fillId="17" borderId="0" xfId="4" applyFont="1" applyFill="1">
      <alignment vertical="center"/>
    </xf>
    <xf numFmtId="0" fontId="6" fillId="17" borderId="0" xfId="4" applyFill="1">
      <alignment vertical="center"/>
    </xf>
    <xf numFmtId="0" fontId="2" fillId="0" borderId="10" xfId="0" applyFont="1" applyBorder="1" applyAlignment="1">
      <alignment horizontal="right" vertical="center" wrapText="1"/>
    </xf>
    <xf numFmtId="9" fontId="2" fillId="0" borderId="10" xfId="0" applyNumberFormat="1" applyFont="1" applyBorder="1" applyAlignment="1">
      <alignment horizontal="right" vertical="center" wrapText="1"/>
    </xf>
    <xf numFmtId="0" fontId="2" fillId="17" borderId="10" xfId="0" applyFont="1" applyFill="1" applyBorder="1" applyAlignment="1">
      <alignment horizontal="right" vertical="center" wrapText="1"/>
    </xf>
    <xf numFmtId="0" fontId="2" fillId="0" borderId="0" xfId="4" applyFont="1">
      <alignment vertical="center"/>
    </xf>
    <xf numFmtId="176" fontId="8" fillId="8" borderId="9" xfId="4" applyNumberFormat="1" applyFont="1" applyFill="1" applyBorder="1" applyAlignment="1">
      <alignment horizontal="right" vertical="center"/>
    </xf>
    <xf numFmtId="0" fontId="7" fillId="8" borderId="10" xfId="4" applyFont="1" applyFill="1" applyBorder="1">
      <alignment vertical="center"/>
    </xf>
    <xf numFmtId="0" fontId="7" fillId="17" borderId="10" xfId="4" applyFont="1" applyFill="1" applyBorder="1" applyAlignment="1">
      <alignment horizontal="right" vertical="center"/>
    </xf>
    <xf numFmtId="177" fontId="8" fillId="0" borderId="0" xfId="0" applyNumberFormat="1" applyFont="1" applyAlignment="1">
      <alignment horizontal="right" vertical="center"/>
    </xf>
    <xf numFmtId="1" fontId="8" fillId="0" borderId="0" xfId="0" applyNumberFormat="1" applyFont="1" applyAlignment="1">
      <alignment horizontal="right" vertical="center"/>
    </xf>
    <xf numFmtId="0" fontId="29" fillId="20" borderId="0" xfId="0" applyFont="1" applyFill="1" applyAlignment="1">
      <alignment horizontal="left" vertical="center"/>
    </xf>
    <xf numFmtId="0" fontId="2" fillId="20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right" vertical="center"/>
    </xf>
    <xf numFmtId="178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177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right" vertical="center"/>
    </xf>
    <xf numFmtId="0" fontId="12" fillId="19" borderId="0" xfId="0" applyFont="1" applyFill="1" applyAlignment="1">
      <alignment vertical="center"/>
    </xf>
    <xf numFmtId="0" fontId="2" fillId="20" borderId="0" xfId="0" applyFont="1" applyFill="1" applyAlignment="1">
      <alignment horizontal="left" vertical="center"/>
    </xf>
    <xf numFmtId="0" fontId="2" fillId="20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right" vertical="center"/>
    </xf>
    <xf numFmtId="0" fontId="2" fillId="21" borderId="0" xfId="0" applyFont="1" applyFill="1" applyAlignment="1">
      <alignment horizontal="left" vertical="center"/>
    </xf>
    <xf numFmtId="177" fontId="2" fillId="21" borderId="0" xfId="0" applyNumberFormat="1" applyFont="1" applyFill="1" applyAlignment="1">
      <alignment horizontal="right" vertical="center"/>
    </xf>
    <xf numFmtId="184" fontId="2" fillId="20" borderId="0" xfId="0" applyNumberFormat="1" applyFont="1" applyFill="1" applyAlignment="1">
      <alignment horizontal="center" vertical="center"/>
    </xf>
    <xf numFmtId="184" fontId="2" fillId="20" borderId="0" xfId="0" applyNumberFormat="1" applyFont="1" applyFill="1" applyAlignment="1">
      <alignment horizontal="right" vertical="center"/>
    </xf>
    <xf numFmtId="9" fontId="2" fillId="20" borderId="0" xfId="0" applyNumberFormat="1" applyFont="1" applyFill="1" applyAlignment="1">
      <alignment horizontal="left" vertical="center"/>
    </xf>
    <xf numFmtId="176" fontId="32" fillId="0" borderId="0" xfId="0" applyNumberFormat="1" applyFo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76" fontId="32" fillId="0" borderId="0" xfId="0" applyNumberFormat="1" applyFont="1" applyAlignment="1">
      <alignment vertical="center"/>
    </xf>
    <xf numFmtId="177" fontId="10" fillId="0" borderId="0" xfId="0" applyNumberFormat="1" applyFont="1" applyAlignment="1">
      <alignment vertical="center"/>
    </xf>
    <xf numFmtId="176" fontId="10" fillId="0" borderId="0" xfId="0" applyNumberFormat="1" applyFont="1" applyAlignment="1">
      <alignment vertical="center"/>
    </xf>
    <xf numFmtId="183" fontId="10" fillId="0" borderId="0" xfId="0" applyNumberFormat="1" applyFont="1" applyAlignment="1">
      <alignment vertical="center"/>
    </xf>
    <xf numFmtId="176" fontId="2" fillId="0" borderId="0" xfId="0" applyNumberFormat="1" applyFont="1" applyAlignment="1">
      <alignment vertical="center"/>
    </xf>
    <xf numFmtId="178" fontId="10" fillId="0" borderId="0" xfId="0" applyNumberFormat="1" applyFont="1" applyAlignment="1">
      <alignment vertical="center"/>
    </xf>
    <xf numFmtId="177" fontId="2" fillId="0" borderId="0" xfId="0" applyNumberFormat="1" applyFont="1" applyAlignment="1">
      <alignment vertical="center"/>
    </xf>
    <xf numFmtId="0" fontId="2" fillId="21" borderId="0" xfId="0" applyFont="1" applyFill="1" applyAlignment="1">
      <alignment vertical="center"/>
    </xf>
    <xf numFmtId="9" fontId="0" fillId="0" borderId="0" xfId="6" applyFont="1" applyFill="1">
      <alignment vertical="center"/>
    </xf>
    <xf numFmtId="0" fontId="12" fillId="0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2" fillId="0" borderId="13" xfId="0" applyFont="1" applyBorder="1" applyAlignment="1">
      <alignment horizontal="left" vertical="center"/>
    </xf>
    <xf numFmtId="179" fontId="2" fillId="0" borderId="13" xfId="0" applyNumberFormat="1" applyFont="1" applyBorder="1" applyAlignment="1">
      <alignment vertical="center"/>
    </xf>
    <xf numFmtId="179" fontId="2" fillId="0" borderId="13" xfId="0" applyNumberFormat="1" applyFont="1" applyBorder="1" applyAlignment="1">
      <alignment horizontal="right" vertical="center"/>
    </xf>
    <xf numFmtId="176" fontId="2" fillId="0" borderId="13" xfId="0" applyNumberFormat="1" applyFont="1" applyBorder="1" applyAlignment="1">
      <alignment vertical="center"/>
    </xf>
    <xf numFmtId="176" fontId="2" fillId="0" borderId="13" xfId="0" applyNumberFormat="1" applyFont="1" applyBorder="1" applyAlignment="1">
      <alignment horizontal="right" vertical="center"/>
    </xf>
    <xf numFmtId="0" fontId="31" fillId="0" borderId="0" xfId="0" applyFont="1" applyFill="1" applyAlignment="1">
      <alignment horizontal="right" vertical="center"/>
    </xf>
    <xf numFmtId="0" fontId="12" fillId="23" borderId="0" xfId="0" applyFont="1" applyFill="1" applyAlignment="1">
      <alignment vertical="center"/>
    </xf>
    <xf numFmtId="0" fontId="2" fillId="23" borderId="0" xfId="0" applyFont="1" applyFill="1">
      <alignment vertical="center"/>
    </xf>
    <xf numFmtId="0" fontId="2" fillId="23" borderId="0" xfId="0" applyFont="1" applyFill="1" applyAlignment="1">
      <alignment vertical="center"/>
    </xf>
    <xf numFmtId="0" fontId="0" fillId="23" borderId="0" xfId="0" applyFill="1">
      <alignment vertical="center"/>
    </xf>
    <xf numFmtId="0" fontId="33" fillId="0" borderId="11" xfId="7" applyFont="1">
      <alignment vertical="center"/>
    </xf>
    <xf numFmtId="0" fontId="35" fillId="8" borderId="12" xfId="7" applyFont="1" applyFill="1" applyBorder="1">
      <alignment vertical="center"/>
    </xf>
    <xf numFmtId="0" fontId="35" fillId="8" borderId="18" xfId="7" applyFont="1" applyFill="1" applyBorder="1">
      <alignment vertical="center"/>
    </xf>
    <xf numFmtId="0" fontId="35" fillId="8" borderId="19" xfId="7" applyFont="1" applyFill="1" applyBorder="1">
      <alignment vertical="center"/>
    </xf>
    <xf numFmtId="0" fontId="35" fillId="8" borderId="14" xfId="7" applyFont="1" applyFill="1" applyBorder="1">
      <alignment vertical="center"/>
    </xf>
    <xf numFmtId="0" fontId="36" fillId="22" borderId="11" xfId="7" applyFont="1" applyFill="1">
      <alignment vertical="center"/>
    </xf>
    <xf numFmtId="0" fontId="29" fillId="22" borderId="11" xfId="7" applyFont="1" applyFill="1">
      <alignment vertical="center"/>
    </xf>
    <xf numFmtId="0" fontId="12" fillId="25" borderId="11" xfId="7" applyFont="1" applyFill="1">
      <alignment vertical="center"/>
    </xf>
    <xf numFmtId="0" fontId="2" fillId="18" borderId="11" xfId="7" applyFont="1" applyFill="1">
      <alignment vertical="center"/>
    </xf>
    <xf numFmtId="0" fontId="2" fillId="0" borderId="11" xfId="7" applyFont="1">
      <alignment vertical="center"/>
    </xf>
    <xf numFmtId="0" fontId="37" fillId="22" borderId="11" xfId="7" applyFont="1" applyFill="1">
      <alignment vertical="center"/>
    </xf>
    <xf numFmtId="0" fontId="2" fillId="0" borderId="11" xfId="7" applyFont="1" applyFill="1">
      <alignment vertical="center"/>
    </xf>
    <xf numFmtId="0" fontId="39" fillId="26" borderId="11" xfId="7" applyFont="1" applyFill="1">
      <alignment vertical="center"/>
    </xf>
    <xf numFmtId="0" fontId="38" fillId="26" borderId="11" xfId="7" applyFont="1" applyFill="1">
      <alignment vertical="center"/>
    </xf>
    <xf numFmtId="0" fontId="2" fillId="26" borderId="11" xfId="7" applyFont="1" applyFill="1">
      <alignment vertical="center"/>
    </xf>
    <xf numFmtId="0" fontId="40" fillId="8" borderId="14" xfId="7" applyFont="1" applyFill="1" applyBorder="1">
      <alignment vertical="center"/>
    </xf>
    <xf numFmtId="0" fontId="40" fillId="8" borderId="12" xfId="7" applyFont="1" applyFill="1" applyBorder="1">
      <alignment vertical="center"/>
    </xf>
    <xf numFmtId="0" fontId="40" fillId="8" borderId="15" xfId="7" applyFont="1" applyFill="1" applyBorder="1">
      <alignment vertical="center"/>
    </xf>
    <xf numFmtId="0" fontId="40" fillId="8" borderId="19" xfId="7" applyFont="1" applyFill="1" applyBorder="1">
      <alignment vertical="center"/>
    </xf>
    <xf numFmtId="0" fontId="40" fillId="8" borderId="18" xfId="7" applyFont="1" applyFill="1" applyBorder="1">
      <alignment vertical="center"/>
    </xf>
    <xf numFmtId="0" fontId="40" fillId="8" borderId="20" xfId="7" applyFont="1" applyFill="1" applyBorder="1">
      <alignment vertical="center"/>
    </xf>
    <xf numFmtId="0" fontId="34" fillId="6" borderId="11" xfId="7" applyFont="1" applyFill="1" applyAlignment="1">
      <alignment vertical="center" wrapText="1"/>
    </xf>
    <xf numFmtId="0" fontId="40" fillId="8" borderId="17" xfId="7" applyFont="1" applyFill="1" applyBorder="1" applyAlignment="1">
      <alignment vertical="center"/>
    </xf>
    <xf numFmtId="0" fontId="40" fillId="8" borderId="16" xfId="7" applyFont="1" applyFill="1" applyBorder="1" applyAlignment="1">
      <alignment vertical="center"/>
    </xf>
    <xf numFmtId="0" fontId="35" fillId="8" borderId="16" xfId="7" applyFont="1" applyFill="1" applyBorder="1" applyAlignment="1">
      <alignment vertical="center"/>
    </xf>
    <xf numFmtId="0" fontId="41" fillId="8" borderId="11" xfId="7" applyFont="1" applyFill="1" applyAlignment="1">
      <alignment vertical="center"/>
    </xf>
    <xf numFmtId="0" fontId="35" fillId="8" borderId="11" xfId="7" applyFont="1" applyFill="1" applyAlignment="1">
      <alignment vertical="center"/>
    </xf>
    <xf numFmtId="0" fontId="42" fillId="8" borderId="11" xfId="7" applyFont="1" applyFill="1" applyAlignment="1">
      <alignment vertical="center"/>
    </xf>
    <xf numFmtId="0" fontId="43" fillId="8" borderId="11" xfId="7" applyFont="1" applyFill="1" applyAlignment="1">
      <alignment vertical="center"/>
    </xf>
    <xf numFmtId="0" fontId="42" fillId="24" borderId="11" xfId="7" applyFont="1" applyFill="1" applyAlignment="1">
      <alignment vertical="center"/>
    </xf>
    <xf numFmtId="0" fontId="40" fillId="8" borderId="11" xfId="7" applyFont="1" applyFill="1" applyAlignment="1">
      <alignment vertical="center"/>
    </xf>
    <xf numFmtId="0" fontId="34" fillId="6" borderId="11" xfId="7" applyFont="1" applyFill="1" applyAlignment="1">
      <alignment vertical="center"/>
    </xf>
    <xf numFmtId="0" fontId="38" fillId="23" borderId="11" xfId="7" applyFont="1" applyFill="1">
      <alignment vertical="center"/>
    </xf>
    <xf numFmtId="0" fontId="2" fillId="23" borderId="11" xfId="7" applyFont="1" applyFill="1">
      <alignment vertical="center"/>
    </xf>
    <xf numFmtId="0" fontId="38" fillId="23" borderId="11" xfId="7" applyFont="1" applyFill="1" applyAlignment="1">
      <alignment vertical="center"/>
    </xf>
  </cellXfs>
  <cellStyles count="8">
    <cellStyle name="Normal" xfId="3" xr:uid="{00000000-0005-0000-0000-000000000000}"/>
    <cellStyle name="백분율" xfId="6" builtinId="5"/>
    <cellStyle name="표준" xfId="0" builtinId="0"/>
    <cellStyle name="표준 2" xfId="2" xr:uid="{00000000-0005-0000-0000-000002000000}"/>
    <cellStyle name="표준 3" xfId="4" xr:uid="{00000000-0005-0000-0000-000003000000}"/>
    <cellStyle name="표준 4" xfId="7" xr:uid="{A80ED78F-24C8-4A1E-BAAF-AA3C8576ED43}"/>
    <cellStyle name="하이퍼링크" xfId="1" xr:uid="{00000000-0005-0000-0000-000004000000}"/>
    <cellStyle name="하이퍼링크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seoulpi.io/article/00436311156690305024" TargetMode="External"/><Relationship Id="rId2" Type="http://schemas.openxmlformats.org/officeDocument/2006/relationships/hyperlink" Target="https://seoulpi.io/article/00566835848106491904" TargetMode="External"/><Relationship Id="rId1" Type="http://schemas.openxmlformats.org/officeDocument/2006/relationships/hyperlink" Target="https://www.fsc.go.kr/po010101/87252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rt.molit.go.kr/?utm_source=chatgpt.com" TargetMode="External"/><Relationship Id="rId13" Type="http://schemas.openxmlformats.org/officeDocument/2006/relationships/hyperlink" Target="https://rt.molit.go.kr/?utm_source=chatgpt.com" TargetMode="External"/><Relationship Id="rId3" Type="http://schemas.openxmlformats.org/officeDocument/2006/relationships/hyperlink" Target="https://rt.molit.go.kr/?utm_source=chatgpt.com" TargetMode="External"/><Relationship Id="rId7" Type="http://schemas.openxmlformats.org/officeDocument/2006/relationships/hyperlink" Target="https://rt.molit.go.kr/?utm_source=chatgpt.com" TargetMode="External"/><Relationship Id="rId12" Type="http://schemas.openxmlformats.org/officeDocument/2006/relationships/hyperlink" Target="https://rt.molit.go.kr/?utm_source=chatgpt.com" TargetMode="External"/><Relationship Id="rId17" Type="http://schemas.openxmlformats.org/officeDocument/2006/relationships/hyperlink" Target="https://en.sedaily.com/finance/2026/02/26/mastern-investment-exits-seongsu-office-deal-with-40" TargetMode="External"/><Relationship Id="rId2" Type="http://schemas.openxmlformats.org/officeDocument/2006/relationships/hyperlink" Target="https://rt.molit.go.kr/?utm_source=chatgpt.com" TargetMode="External"/><Relationship Id="rId16" Type="http://schemas.openxmlformats.org/officeDocument/2006/relationships/hyperlink" Target="https://rt.molit.go.kr/?utm_source=chatgpt.com" TargetMode="External"/><Relationship Id="rId1" Type="http://schemas.openxmlformats.org/officeDocument/2006/relationships/hyperlink" Target="https://rt.molit.go.kr/?utm_source=chatgpt.com" TargetMode="External"/><Relationship Id="rId6" Type="http://schemas.openxmlformats.org/officeDocument/2006/relationships/hyperlink" Target="https://rt.molit.go.kr/?utm_source=chatgpt.com" TargetMode="External"/><Relationship Id="rId11" Type="http://schemas.openxmlformats.org/officeDocument/2006/relationships/hyperlink" Target="https://rt.molit.go.kr/?utm_source=chatgpt.com" TargetMode="External"/><Relationship Id="rId5" Type="http://schemas.openxmlformats.org/officeDocument/2006/relationships/hyperlink" Target="https://rt.molit.go.kr/?utm_source=chatgpt.com" TargetMode="External"/><Relationship Id="rId15" Type="http://schemas.openxmlformats.org/officeDocument/2006/relationships/hyperlink" Target="https://rt.molit.go.kr/?utm_source=chatgpt.com" TargetMode="External"/><Relationship Id="rId10" Type="http://schemas.openxmlformats.org/officeDocument/2006/relationships/hyperlink" Target="https://rt.molit.go.kr/?utm_source=chatgpt.com" TargetMode="External"/><Relationship Id="rId4" Type="http://schemas.openxmlformats.org/officeDocument/2006/relationships/hyperlink" Target="https://rt.molit.go.kr/?utm_source=chatgpt.com" TargetMode="External"/><Relationship Id="rId9" Type="http://schemas.openxmlformats.org/officeDocument/2006/relationships/hyperlink" Target="https://rt.molit.go.kr/?utm_source=chatgpt.com" TargetMode="External"/><Relationship Id="rId14" Type="http://schemas.openxmlformats.org/officeDocument/2006/relationships/hyperlink" Target="https://rt.molit.go.kr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CF3D5-44D9-4541-895A-4706C1AFD71A}">
  <sheetPr>
    <tabColor rgb="FFFF0000"/>
  </sheetPr>
  <dimension ref="A1:O43"/>
  <sheetViews>
    <sheetView showGridLines="0" tabSelected="1" zoomScale="70" zoomScaleNormal="70" workbookViewId="0">
      <selection activeCell="D3" sqref="D3"/>
    </sheetView>
  </sheetViews>
  <sheetFormatPr defaultColWidth="20.69921875" defaultRowHeight="15" customHeight="1"/>
  <cols>
    <col min="1" max="1" width="1.69921875" style="209" customWidth="1"/>
    <col min="2" max="3" width="1.69921875" style="207" customWidth="1"/>
    <col min="4" max="16384" width="20.69921875" style="207"/>
  </cols>
  <sheetData>
    <row r="1" spans="1:15" s="206" customFormat="1" ht="15" customHeight="1">
      <c r="A1" s="205" t="s">
        <v>629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</row>
    <row r="2" spans="1:15" ht="15" customHeight="1">
      <c r="A2" s="207"/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</row>
    <row r="3" spans="1:15" ht="15" customHeight="1">
      <c r="A3" s="207"/>
      <c r="B3" s="198"/>
      <c r="C3" s="198"/>
      <c r="D3" s="208" t="s">
        <v>628</v>
      </c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</row>
    <row r="4" spans="1:15" ht="15" customHeight="1">
      <c r="A4" s="207"/>
      <c r="B4" s="198"/>
      <c r="C4" s="198"/>
      <c r="D4" s="204" t="s">
        <v>627</v>
      </c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</row>
    <row r="5" spans="1:15" s="231" customFormat="1" ht="15" customHeight="1">
      <c r="A5" s="209"/>
      <c r="B5" s="198"/>
      <c r="C5" s="198" t="s">
        <v>630</v>
      </c>
      <c r="D5" s="230" t="s">
        <v>626</v>
      </c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</row>
    <row r="6" spans="1:15" s="212" customFormat="1" ht="15" customHeight="1">
      <c r="A6" s="209"/>
      <c r="B6" s="198"/>
      <c r="C6" s="198"/>
      <c r="D6" s="210" t="s">
        <v>625</v>
      </c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</row>
    <row r="7" spans="1:15" ht="15" customHeight="1">
      <c r="B7" s="198"/>
      <c r="C7" s="198"/>
      <c r="D7" s="198"/>
      <c r="E7" s="213" t="s">
        <v>624</v>
      </c>
      <c r="F7" s="214"/>
      <c r="G7" s="215"/>
      <c r="H7" s="202" t="s">
        <v>623</v>
      </c>
      <c r="I7" s="199"/>
      <c r="J7" s="199"/>
      <c r="K7" s="199"/>
      <c r="L7" s="199"/>
      <c r="M7" s="199"/>
      <c r="N7" s="199"/>
      <c r="O7" s="199"/>
    </row>
    <row r="8" spans="1:15" ht="15" customHeight="1">
      <c r="B8" s="198"/>
      <c r="C8" s="198"/>
      <c r="D8" s="198"/>
      <c r="E8" s="213" t="s">
        <v>622</v>
      </c>
      <c r="F8" s="214"/>
      <c r="G8" s="215"/>
      <c r="H8" s="202" t="s">
        <v>621</v>
      </c>
      <c r="I8" s="199"/>
      <c r="J8" s="199"/>
      <c r="K8" s="199"/>
      <c r="L8" s="199"/>
      <c r="M8" s="199"/>
      <c r="N8" s="199"/>
      <c r="O8" s="199"/>
    </row>
    <row r="9" spans="1:15" ht="15" customHeight="1">
      <c r="B9" s="198"/>
      <c r="C9" s="198"/>
      <c r="D9" s="198"/>
      <c r="E9" s="213" t="s">
        <v>620</v>
      </c>
      <c r="F9" s="214"/>
      <c r="G9" s="215"/>
      <c r="H9" s="202" t="s">
        <v>619</v>
      </c>
      <c r="I9" s="199"/>
      <c r="J9" s="199"/>
      <c r="K9" s="199"/>
      <c r="L9" s="199"/>
      <c r="M9" s="199"/>
      <c r="N9" s="199"/>
      <c r="O9" s="199"/>
    </row>
    <row r="10" spans="1:15" ht="15" customHeight="1">
      <c r="B10" s="198"/>
      <c r="C10" s="198"/>
      <c r="D10" s="198"/>
      <c r="E10" s="216" t="s">
        <v>618</v>
      </c>
      <c r="F10" s="217"/>
      <c r="G10" s="218"/>
      <c r="H10" s="200" t="s">
        <v>617</v>
      </c>
      <c r="I10" s="200"/>
      <c r="J10" s="200"/>
      <c r="K10" s="200"/>
      <c r="L10" s="200"/>
      <c r="M10" s="200"/>
      <c r="N10" s="200"/>
      <c r="O10" s="200"/>
    </row>
    <row r="11" spans="1:15" ht="15" customHeight="1">
      <c r="B11" s="198"/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</row>
    <row r="12" spans="1:15" s="231" customFormat="1" ht="15" customHeight="1">
      <c r="A12" s="209"/>
      <c r="B12" s="198"/>
      <c r="C12" s="198" t="s">
        <v>630</v>
      </c>
      <c r="D12" s="230" t="s">
        <v>616</v>
      </c>
      <c r="E12" s="230"/>
      <c r="F12" s="230"/>
      <c r="G12" s="230"/>
      <c r="H12" s="230"/>
      <c r="I12" s="230"/>
      <c r="J12" s="230"/>
      <c r="K12" s="230"/>
      <c r="L12" s="230"/>
      <c r="M12" s="230"/>
      <c r="N12" s="230"/>
      <c r="O12" s="230"/>
    </row>
    <row r="13" spans="1:15" s="212" customFormat="1" ht="15" customHeight="1">
      <c r="A13" s="209"/>
      <c r="B13" s="198"/>
      <c r="C13" s="198"/>
      <c r="D13" s="210" t="s">
        <v>631</v>
      </c>
      <c r="E13" s="211"/>
      <c r="F13" s="211"/>
      <c r="G13" s="211"/>
      <c r="H13" s="211"/>
      <c r="I13" s="211"/>
      <c r="J13" s="211"/>
      <c r="K13" s="211"/>
      <c r="L13" s="211"/>
      <c r="M13" s="211"/>
      <c r="N13" s="211"/>
      <c r="O13" s="211"/>
    </row>
    <row r="14" spans="1:15" ht="15" customHeight="1">
      <c r="B14" s="198"/>
      <c r="C14" s="198"/>
      <c r="D14" s="198"/>
      <c r="E14" s="213" t="s">
        <v>615</v>
      </c>
      <c r="F14" s="214"/>
      <c r="G14" s="215"/>
      <c r="H14" s="202" t="s">
        <v>614</v>
      </c>
      <c r="I14" s="199"/>
      <c r="J14" s="199"/>
      <c r="K14" s="199"/>
      <c r="L14" s="199"/>
      <c r="M14" s="199"/>
      <c r="N14" s="199"/>
      <c r="O14" s="199"/>
    </row>
    <row r="15" spans="1:15" ht="15" customHeight="1">
      <c r="B15" s="198"/>
      <c r="C15" s="198"/>
      <c r="D15" s="198"/>
      <c r="E15" s="216" t="s">
        <v>613</v>
      </c>
      <c r="F15" s="217"/>
      <c r="G15" s="218"/>
      <c r="H15" s="201" t="s">
        <v>612</v>
      </c>
      <c r="I15" s="200"/>
      <c r="J15" s="200"/>
      <c r="K15" s="200"/>
      <c r="L15" s="200"/>
      <c r="M15" s="200"/>
      <c r="N15" s="200"/>
      <c r="O15" s="200"/>
    </row>
    <row r="16" spans="1:15" ht="15" customHeight="1">
      <c r="B16" s="198"/>
      <c r="C16" s="198"/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8"/>
    </row>
    <row r="17" spans="1:15" s="231" customFormat="1" ht="15" customHeight="1">
      <c r="A17" s="209"/>
      <c r="B17" s="198"/>
      <c r="C17" s="198" t="s">
        <v>630</v>
      </c>
      <c r="D17" s="230" t="s">
        <v>611</v>
      </c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</row>
    <row r="18" spans="1:15" s="212" customFormat="1" ht="15" customHeight="1">
      <c r="A18" s="209"/>
      <c r="B18" s="198"/>
      <c r="C18" s="198"/>
      <c r="D18" s="210" t="s">
        <v>632</v>
      </c>
      <c r="E18" s="211"/>
      <c r="F18" s="211"/>
      <c r="G18" s="211"/>
      <c r="H18" s="211"/>
      <c r="I18" s="211"/>
      <c r="J18" s="211"/>
      <c r="K18" s="211"/>
      <c r="L18" s="211"/>
      <c r="M18" s="211"/>
      <c r="N18" s="211"/>
      <c r="O18" s="211"/>
    </row>
    <row r="19" spans="1:15" ht="15" customHeight="1">
      <c r="B19" s="198"/>
      <c r="C19" s="198"/>
      <c r="D19" s="198"/>
      <c r="E19" s="213" t="s">
        <v>610</v>
      </c>
      <c r="F19" s="214"/>
      <c r="G19" s="215"/>
      <c r="H19" s="199" t="s">
        <v>609</v>
      </c>
      <c r="I19" s="199"/>
      <c r="J19" s="199"/>
      <c r="K19" s="199"/>
      <c r="L19" s="199"/>
      <c r="M19" s="199"/>
      <c r="N19" s="199"/>
      <c r="O19" s="199"/>
    </row>
    <row r="20" spans="1:15" ht="15" customHeight="1">
      <c r="B20" s="198"/>
      <c r="C20" s="198"/>
      <c r="D20" s="198"/>
      <c r="E20" s="213" t="s">
        <v>608</v>
      </c>
      <c r="F20" s="214"/>
      <c r="G20" s="215"/>
      <c r="H20" s="199" t="s">
        <v>607</v>
      </c>
      <c r="I20" s="199"/>
      <c r="J20" s="199"/>
      <c r="K20" s="199"/>
      <c r="L20" s="199"/>
      <c r="M20" s="199"/>
      <c r="N20" s="199"/>
      <c r="O20" s="199"/>
    </row>
    <row r="21" spans="1:15" ht="15" customHeight="1">
      <c r="B21" s="198"/>
      <c r="C21" s="198"/>
      <c r="D21" s="198"/>
      <c r="E21" s="213" t="s">
        <v>606</v>
      </c>
      <c r="F21" s="214"/>
      <c r="G21" s="215"/>
      <c r="H21" s="199" t="s">
        <v>605</v>
      </c>
      <c r="I21" s="199"/>
      <c r="J21" s="199"/>
      <c r="K21" s="199"/>
      <c r="L21" s="199"/>
      <c r="M21" s="199"/>
      <c r="N21" s="199"/>
      <c r="O21" s="199"/>
    </row>
    <row r="22" spans="1:15" ht="15" customHeight="1">
      <c r="B22" s="198"/>
      <c r="C22" s="198"/>
      <c r="D22" s="198"/>
      <c r="E22" s="213" t="s">
        <v>604</v>
      </c>
      <c r="F22" s="214"/>
      <c r="G22" s="215"/>
      <c r="H22" s="199" t="s">
        <v>603</v>
      </c>
      <c r="I22" s="199"/>
      <c r="J22" s="199"/>
      <c r="K22" s="199"/>
      <c r="L22" s="199"/>
      <c r="M22" s="199"/>
      <c r="N22" s="199"/>
      <c r="O22" s="199"/>
    </row>
    <row r="23" spans="1:15" ht="15" customHeight="1">
      <c r="B23" s="198"/>
      <c r="C23" s="198"/>
      <c r="D23" s="198"/>
      <c r="E23" s="220" t="s">
        <v>602</v>
      </c>
      <c r="F23" s="221"/>
      <c r="G23" s="221"/>
      <c r="H23" s="222" t="s">
        <v>601</v>
      </c>
      <c r="I23" s="222"/>
      <c r="J23" s="222"/>
      <c r="K23" s="222"/>
      <c r="L23" s="222"/>
      <c r="M23" s="222"/>
      <c r="N23" s="222"/>
      <c r="O23" s="222"/>
    </row>
    <row r="24" spans="1:15" ht="15" customHeight="1">
      <c r="B24" s="198"/>
      <c r="C24" s="198"/>
      <c r="D24" s="198"/>
      <c r="E24" s="198"/>
      <c r="F24" s="198"/>
      <c r="G24" s="198"/>
      <c r="H24" s="198"/>
      <c r="I24" s="198"/>
      <c r="J24" s="198"/>
      <c r="K24" s="198"/>
      <c r="L24" s="198"/>
      <c r="M24" s="198"/>
      <c r="N24" s="198"/>
      <c r="O24" s="198"/>
    </row>
    <row r="25" spans="1:15" s="231" customFormat="1" ht="15" customHeight="1">
      <c r="A25" s="209"/>
      <c r="B25" s="198"/>
      <c r="C25" s="198" t="s">
        <v>630</v>
      </c>
      <c r="D25" s="232" t="s">
        <v>600</v>
      </c>
      <c r="E25" s="232"/>
      <c r="F25" s="232"/>
      <c r="G25" s="232"/>
      <c r="H25" s="232"/>
      <c r="I25" s="232"/>
      <c r="J25" s="232"/>
      <c r="K25" s="232"/>
      <c r="L25" s="232"/>
      <c r="M25" s="232"/>
      <c r="N25" s="232"/>
      <c r="O25" s="232"/>
    </row>
    <row r="26" spans="1:15" s="212" customFormat="1" ht="15" customHeight="1">
      <c r="A26" s="209"/>
      <c r="B26" s="198"/>
      <c r="C26" s="198"/>
      <c r="D26" s="210" t="s">
        <v>633</v>
      </c>
      <c r="E26" s="211"/>
      <c r="F26" s="211"/>
      <c r="G26" s="211"/>
      <c r="H26" s="211"/>
      <c r="I26" s="211"/>
      <c r="J26" s="211"/>
      <c r="K26" s="211"/>
      <c r="L26" s="211"/>
      <c r="M26" s="211"/>
      <c r="N26" s="211"/>
      <c r="O26" s="211"/>
    </row>
    <row r="27" spans="1:15" ht="15" customHeight="1">
      <c r="B27" s="198"/>
      <c r="C27" s="198"/>
      <c r="D27" s="198"/>
      <c r="E27" s="223" t="s">
        <v>599</v>
      </c>
      <c r="F27" s="223"/>
      <c r="G27" s="223"/>
      <c r="H27" s="224" t="s">
        <v>598</v>
      </c>
      <c r="I27" s="224"/>
      <c r="J27" s="224"/>
      <c r="K27" s="224"/>
      <c r="L27" s="224"/>
      <c r="M27" s="224"/>
      <c r="N27" s="224"/>
      <c r="O27" s="224"/>
    </row>
    <row r="28" spans="1:15" ht="15" customHeight="1">
      <c r="B28" s="198"/>
      <c r="C28" s="198"/>
      <c r="D28" s="198"/>
      <c r="E28" s="225" t="s">
        <v>597</v>
      </c>
      <c r="F28" s="225"/>
      <c r="G28" s="225"/>
      <c r="H28" s="224" t="s">
        <v>596</v>
      </c>
      <c r="I28" s="224"/>
      <c r="J28" s="224"/>
      <c r="K28" s="224"/>
      <c r="L28" s="224"/>
      <c r="M28" s="224"/>
      <c r="N28" s="224"/>
      <c r="O28" s="224"/>
    </row>
    <row r="29" spans="1:15" ht="15" customHeight="1">
      <c r="B29" s="198"/>
      <c r="C29" s="198"/>
      <c r="D29" s="198"/>
      <c r="E29" s="226" t="s">
        <v>595</v>
      </c>
      <c r="F29" s="226"/>
      <c r="G29" s="226"/>
      <c r="H29" s="224" t="s">
        <v>594</v>
      </c>
      <c r="I29" s="224"/>
      <c r="J29" s="224"/>
      <c r="K29" s="224"/>
      <c r="L29" s="224"/>
      <c r="M29" s="224"/>
      <c r="N29" s="224"/>
      <c r="O29" s="224"/>
    </row>
    <row r="30" spans="1:15" ht="15" customHeight="1">
      <c r="B30" s="198"/>
      <c r="C30" s="198"/>
      <c r="D30" s="198"/>
      <c r="E30" s="227" t="s">
        <v>593</v>
      </c>
      <c r="F30" s="227"/>
      <c r="G30" s="227"/>
      <c r="H30" s="224" t="s">
        <v>592</v>
      </c>
      <c r="I30" s="224"/>
      <c r="J30" s="224"/>
      <c r="K30" s="224"/>
      <c r="L30" s="224"/>
      <c r="M30" s="224"/>
      <c r="N30" s="224"/>
      <c r="O30" s="224"/>
    </row>
    <row r="31" spans="1:15" ht="15" customHeight="1">
      <c r="B31" s="198"/>
      <c r="C31" s="198"/>
      <c r="D31" s="198"/>
      <c r="E31" s="221" t="s">
        <v>591</v>
      </c>
      <c r="F31" s="221"/>
      <c r="G31" s="221"/>
      <c r="H31" s="222" t="s">
        <v>590</v>
      </c>
      <c r="I31" s="222"/>
      <c r="J31" s="222"/>
      <c r="K31" s="222"/>
      <c r="L31" s="222"/>
      <c r="M31" s="222"/>
      <c r="N31" s="222"/>
      <c r="O31" s="222"/>
    </row>
    <row r="32" spans="1:15" ht="15" customHeight="1">
      <c r="B32" s="198"/>
      <c r="C32" s="198"/>
      <c r="D32" s="198"/>
      <c r="E32" s="198"/>
      <c r="F32" s="198"/>
      <c r="G32" s="198"/>
      <c r="H32" s="198"/>
      <c r="I32" s="198"/>
      <c r="J32" s="198"/>
      <c r="K32" s="198"/>
      <c r="L32" s="198"/>
      <c r="M32" s="198"/>
      <c r="N32" s="198"/>
      <c r="O32" s="198"/>
    </row>
    <row r="33" spans="1:15" s="231" customFormat="1" ht="15" customHeight="1">
      <c r="A33" s="209"/>
      <c r="B33" s="198"/>
      <c r="C33" s="198" t="s">
        <v>630</v>
      </c>
      <c r="D33" s="232" t="s">
        <v>589</v>
      </c>
      <c r="E33" s="232"/>
      <c r="F33" s="232"/>
      <c r="G33" s="232"/>
      <c r="H33" s="232"/>
      <c r="I33" s="232"/>
      <c r="J33" s="232"/>
      <c r="K33" s="232"/>
      <c r="L33" s="232"/>
      <c r="M33" s="232"/>
      <c r="N33" s="232"/>
      <c r="O33" s="232"/>
    </row>
    <row r="34" spans="1:15" s="212" customFormat="1" ht="15" customHeight="1">
      <c r="A34" s="209"/>
      <c r="B34" s="198"/>
      <c r="C34" s="198"/>
      <c r="D34" s="210" t="s">
        <v>634</v>
      </c>
      <c r="E34" s="211"/>
      <c r="F34" s="211"/>
      <c r="G34" s="211"/>
      <c r="H34" s="211"/>
      <c r="I34" s="211"/>
      <c r="J34" s="211"/>
      <c r="K34" s="211"/>
      <c r="L34" s="211"/>
      <c r="M34" s="211"/>
      <c r="N34" s="211"/>
      <c r="O34" s="211"/>
    </row>
    <row r="35" spans="1:15" ht="15" customHeight="1">
      <c r="B35" s="198"/>
      <c r="C35" s="198"/>
      <c r="D35" s="198"/>
      <c r="E35" s="228" t="s">
        <v>588</v>
      </c>
      <c r="F35" s="228"/>
      <c r="G35" s="228"/>
      <c r="H35" s="224" t="s">
        <v>587</v>
      </c>
      <c r="I35" s="224"/>
      <c r="J35" s="224"/>
      <c r="K35" s="224"/>
      <c r="L35" s="224"/>
      <c r="M35" s="224"/>
      <c r="N35" s="224"/>
      <c r="O35" s="224"/>
    </row>
    <row r="36" spans="1:15" ht="15" customHeight="1">
      <c r="B36" s="198"/>
      <c r="C36" s="198"/>
      <c r="D36" s="198"/>
      <c r="E36" s="228" t="s">
        <v>586</v>
      </c>
      <c r="F36" s="228"/>
      <c r="G36" s="228"/>
      <c r="H36" s="224" t="s">
        <v>585</v>
      </c>
      <c r="I36" s="224"/>
      <c r="J36" s="224"/>
      <c r="K36" s="224"/>
      <c r="L36" s="224"/>
      <c r="M36" s="224"/>
      <c r="N36" s="224"/>
      <c r="O36" s="224"/>
    </row>
    <row r="37" spans="1:15" ht="15" customHeight="1">
      <c r="B37" s="198"/>
      <c r="C37" s="198"/>
      <c r="D37" s="198"/>
      <c r="E37" s="228" t="s">
        <v>584</v>
      </c>
      <c r="F37" s="228"/>
      <c r="G37" s="228"/>
      <c r="H37" s="224" t="s">
        <v>583</v>
      </c>
      <c r="I37" s="224"/>
      <c r="J37" s="224"/>
      <c r="K37" s="224"/>
      <c r="L37" s="224"/>
      <c r="M37" s="224"/>
      <c r="N37" s="224"/>
      <c r="O37" s="224"/>
    </row>
    <row r="38" spans="1:15" ht="15" customHeight="1">
      <c r="B38" s="198"/>
      <c r="C38" s="198"/>
      <c r="D38" s="198"/>
      <c r="E38" s="221" t="s">
        <v>582</v>
      </c>
      <c r="F38" s="221"/>
      <c r="G38" s="221"/>
      <c r="H38" s="222" t="s">
        <v>581</v>
      </c>
      <c r="I38" s="222"/>
      <c r="J38" s="222"/>
      <c r="K38" s="222"/>
      <c r="L38" s="222"/>
      <c r="M38" s="222"/>
      <c r="N38" s="222"/>
      <c r="O38" s="222"/>
    </row>
    <row r="39" spans="1:15" ht="15" customHeight="1">
      <c r="B39" s="198"/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</row>
    <row r="40" spans="1:15" ht="15" customHeight="1">
      <c r="B40" s="198"/>
      <c r="C40" s="198"/>
      <c r="D40" s="229" t="s">
        <v>580</v>
      </c>
      <c r="E40" s="229"/>
      <c r="F40" s="219" t="s">
        <v>579</v>
      </c>
      <c r="G40" s="219"/>
      <c r="H40" s="219"/>
      <c r="I40" s="219"/>
      <c r="J40" s="219"/>
      <c r="K40" s="219"/>
      <c r="L40" s="219"/>
      <c r="M40" s="219"/>
      <c r="N40" s="219"/>
      <c r="O40" s="219"/>
    </row>
    <row r="41" spans="1:15" ht="15" customHeight="1">
      <c r="B41" s="198"/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</row>
    <row r="42" spans="1:15" ht="15" customHeight="1">
      <c r="B42" s="198"/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</row>
    <row r="43" spans="1:15" ht="15" customHeight="1"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</row>
  </sheetData>
  <phoneticPr fontId="2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AC100"/>
  <sheetViews>
    <sheetView showGridLines="0" zoomScale="70" zoomScaleNormal="70" workbookViewId="0">
      <selection activeCell="E28" sqref="E28"/>
    </sheetView>
  </sheetViews>
  <sheetFormatPr defaultRowHeight="17.399999999999999"/>
  <cols>
    <col min="1" max="3" width="1.69921875" style="1" customWidth="1"/>
    <col min="4" max="4" width="24" style="1" customWidth="1"/>
    <col min="5" max="5" width="16" style="1" customWidth="1"/>
    <col min="6" max="6" width="24" style="1" customWidth="1"/>
    <col min="7" max="7" width="16" style="1" customWidth="1"/>
    <col min="8" max="8" width="24" style="1" customWidth="1"/>
    <col min="9" max="9" width="16" style="1" customWidth="1"/>
    <col min="10" max="10" width="24" style="1" customWidth="1"/>
    <col min="11" max="11" width="16" style="1" customWidth="1"/>
    <col min="12" max="16384" width="8.796875" style="1"/>
  </cols>
  <sheetData>
    <row r="1" spans="1:29" s="73" customFormat="1" ht="15" customHeight="1">
      <c r="A1" s="71" t="s">
        <v>2</v>
      </c>
      <c r="B1" s="71"/>
      <c r="C1" s="71"/>
      <c r="D1" s="71"/>
      <c r="E1" s="71"/>
      <c r="F1" s="71"/>
      <c r="G1" s="71"/>
      <c r="H1" s="71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spans="1:29" ht="15" customHeight="1"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</row>
    <row r="3" spans="1:29" ht="15" customHeight="1">
      <c r="D3" s="18" t="s">
        <v>3</v>
      </c>
      <c r="E3" s="18"/>
      <c r="F3" s="18"/>
      <c r="G3" s="18"/>
      <c r="H3" s="18"/>
      <c r="I3" s="18"/>
      <c r="J3" s="18"/>
      <c r="K3" s="18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</row>
    <row r="4" spans="1:29" ht="15" customHeight="1"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</row>
    <row r="5" spans="1:29" ht="15" customHeight="1">
      <c r="D5" s="18" t="s">
        <v>1</v>
      </c>
      <c r="E5" s="19">
        <f>Assumptions!F5</f>
        <v>1073</v>
      </c>
      <c r="F5" s="18" t="s">
        <v>4</v>
      </c>
      <c r="G5" s="17">
        <f>Assumptions!F18</f>
        <v>78.40081714285715</v>
      </c>
      <c r="H5" s="18" t="s">
        <v>5</v>
      </c>
      <c r="I5" s="19">
        <f>'Operating CF'!O20</f>
        <v>2341.4253847166483</v>
      </c>
      <c r="J5" s="18" t="s">
        <v>6</v>
      </c>
      <c r="K5" s="141">
        <f>'Operating CF'!E35</f>
        <v>0.15724347233772279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</row>
    <row r="6" spans="1:29" ht="15" customHeight="1">
      <c r="D6" s="18" t="s">
        <v>7</v>
      </c>
      <c r="E6" s="17">
        <f>Assumptions!F10</f>
        <v>450</v>
      </c>
      <c r="F6" s="18" t="s">
        <v>8</v>
      </c>
      <c r="G6" s="16">
        <f>G5/E5</f>
        <v>7.3066931167620836E-2</v>
      </c>
      <c r="H6" s="18" t="s">
        <v>9</v>
      </c>
      <c r="I6" s="17">
        <f>'Operating CF'!O23</f>
        <v>1695.0111308694818</v>
      </c>
      <c r="J6" s="18" t="s">
        <v>10</v>
      </c>
      <c r="K6" s="17">
        <f>'Dev PF'!E24</f>
        <v>56.3257772414049</v>
      </c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</row>
    <row r="7" spans="1:29" ht="15" customHeight="1">
      <c r="D7" s="18" t="s">
        <v>11</v>
      </c>
      <c r="E7" s="17">
        <f>Assumptions!F11</f>
        <v>623</v>
      </c>
      <c r="F7" s="18" t="s">
        <v>12</v>
      </c>
      <c r="G7" s="16">
        <f>Assumptions!F21</f>
        <v>4.7500000000000001E-2</v>
      </c>
      <c r="H7" s="18" t="s">
        <v>13</v>
      </c>
      <c r="I7" s="20">
        <f>'Operating CF'!E37</f>
        <v>5.1063636367019596</v>
      </c>
      <c r="J7" s="18" t="s">
        <v>14</v>
      </c>
      <c r="K7" s="16">
        <f>'Operating CF'!O16</f>
        <v>0.16156174177400034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</row>
    <row r="8" spans="1:29" ht="15" customHeight="1">
      <c r="D8" s="18" t="s">
        <v>15</v>
      </c>
      <c r="E8" s="16">
        <f>E6/E5</f>
        <v>0.41938490214352281</v>
      </c>
      <c r="F8" s="18" t="s">
        <v>16</v>
      </c>
      <c r="G8" s="16">
        <f>'Operating CF'!F16</f>
        <v>0.108462926984127</v>
      </c>
      <c r="H8" s="18" t="s">
        <v>17</v>
      </c>
      <c r="I8" s="141">
        <f>'Operating CF'!E36</f>
        <v>0.2210012760736666</v>
      </c>
      <c r="J8" s="18" t="s">
        <v>18</v>
      </c>
      <c r="K8" s="16">
        <f>Assumptions!F23</f>
        <v>4.4999999999999998E-2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</row>
    <row r="9" spans="1:29" ht="15" customHeight="1"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</row>
    <row r="10" spans="1:29" ht="15" customHeight="1"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</row>
    <row r="11" spans="1:29" s="73" customFormat="1" ht="15" customHeight="1">
      <c r="A11" s="1"/>
      <c r="B11" s="1"/>
      <c r="C11" s="1" t="s">
        <v>0</v>
      </c>
      <c r="D11" s="71" t="s">
        <v>19</v>
      </c>
      <c r="E11" s="71"/>
      <c r="F11" s="71"/>
      <c r="G11" s="71"/>
      <c r="H11" s="71"/>
      <c r="I11" s="71"/>
      <c r="J11" s="71"/>
      <c r="K11" s="71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</row>
    <row r="12" spans="1:29" ht="15" customHeight="1">
      <c r="D12" s="18" t="s">
        <v>20</v>
      </c>
      <c r="E12" s="18" t="s">
        <v>21</v>
      </c>
      <c r="F12" s="18" t="s">
        <v>22</v>
      </c>
      <c r="G12" s="18" t="s">
        <v>23</v>
      </c>
      <c r="H12" s="18"/>
      <c r="I12" s="18"/>
      <c r="J12" s="18"/>
      <c r="K12" s="18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</row>
    <row r="13" spans="1:29" ht="15" customHeight="1">
      <c r="D13" s="15" t="s">
        <v>24</v>
      </c>
      <c r="E13" s="15" t="s">
        <v>25</v>
      </c>
      <c r="F13" s="15" t="s">
        <v>26</v>
      </c>
      <c r="G13" s="15" t="s">
        <v>27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</row>
    <row r="14" spans="1:29" ht="15" customHeight="1">
      <c r="D14" s="15" t="s">
        <v>28</v>
      </c>
      <c r="E14" s="15" t="s">
        <v>29</v>
      </c>
      <c r="F14" s="15" t="s">
        <v>30</v>
      </c>
      <c r="G14" s="15" t="s">
        <v>31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</row>
    <row r="15" spans="1:29" ht="15" customHeight="1">
      <c r="D15" s="15" t="s">
        <v>32</v>
      </c>
      <c r="E15" s="15" t="s">
        <v>33</v>
      </c>
      <c r="F15" s="15" t="s">
        <v>30</v>
      </c>
      <c r="G15" s="15" t="s">
        <v>34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</row>
    <row r="16" spans="1:29" ht="15" customHeight="1">
      <c r="D16" s="15" t="s">
        <v>35</v>
      </c>
      <c r="E16" s="15" t="s">
        <v>36</v>
      </c>
      <c r="F16" s="15" t="s">
        <v>37</v>
      </c>
      <c r="G16" s="15" t="s">
        <v>38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 spans="1:29" ht="15" customHeight="1">
      <c r="D17" s="15" t="s">
        <v>39</v>
      </c>
      <c r="E17" s="15" t="s">
        <v>40</v>
      </c>
      <c r="F17" s="15" t="s">
        <v>41</v>
      </c>
      <c r="G17" s="15" t="s">
        <v>42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 spans="1:29" ht="15" customHeight="1"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</row>
    <row r="19" spans="1:29" ht="15" customHeight="1"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</row>
    <row r="20" spans="1:29" s="73" customFormat="1" ht="15" customHeight="1">
      <c r="A20" s="1"/>
      <c r="B20" s="1"/>
      <c r="C20" s="1" t="s">
        <v>0</v>
      </c>
      <c r="D20" s="71" t="s">
        <v>43</v>
      </c>
      <c r="E20" s="71"/>
      <c r="F20" s="71"/>
      <c r="G20" s="71"/>
      <c r="H20" s="71"/>
      <c r="I20" s="71"/>
      <c r="J20" s="71"/>
      <c r="K20" s="71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</row>
    <row r="21" spans="1:29" ht="15" customHeight="1">
      <c r="D21" s="142" t="s">
        <v>44</v>
      </c>
      <c r="E21" s="21"/>
      <c r="F21" s="21"/>
      <c r="G21" s="21"/>
      <c r="H21" s="21"/>
      <c r="I21" s="21"/>
      <c r="J21" s="21"/>
      <c r="K21" s="21"/>
      <c r="L21" s="21"/>
      <c r="M21" s="21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spans="1:29" ht="15" customHeight="1">
      <c r="D22" s="142" t="s">
        <v>45</v>
      </c>
      <c r="E22" s="21"/>
      <c r="F22" s="21"/>
      <c r="G22" s="21"/>
      <c r="H22" s="21"/>
      <c r="I22" s="21"/>
      <c r="J22" s="21"/>
      <c r="K22" s="21"/>
      <c r="L22" s="21"/>
      <c r="M22" s="21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 spans="1:29" ht="15" customHeight="1">
      <c r="D23" s="143" t="s">
        <v>46</v>
      </c>
      <c r="E23" s="21"/>
      <c r="F23" s="21"/>
      <c r="G23" s="21"/>
      <c r="H23" s="21"/>
      <c r="I23" s="21"/>
      <c r="J23" s="21"/>
      <c r="K23" s="21"/>
      <c r="L23" s="21"/>
      <c r="M23" s="21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 spans="1:29" ht="15" customHeight="1">
      <c r="D24" s="157" t="s">
        <v>483</v>
      </c>
      <c r="E24" s="157"/>
      <c r="F24" s="157"/>
      <c r="G24" s="157"/>
      <c r="H24" s="157"/>
      <c r="I24" s="157"/>
      <c r="J24" s="157"/>
      <c r="K24" s="157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 spans="1:29" ht="15" customHeight="1"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 spans="1:29" s="73" customFormat="1" ht="15" customHeight="1">
      <c r="A26" s="1"/>
      <c r="B26" s="1"/>
      <c r="C26" s="1" t="s">
        <v>0</v>
      </c>
      <c r="D26" s="71" t="s">
        <v>47</v>
      </c>
      <c r="E26" s="71"/>
      <c r="F26" s="71"/>
      <c r="G26" s="71"/>
      <c r="H26" s="71"/>
      <c r="I26" s="71"/>
      <c r="J26" s="71"/>
      <c r="K26" s="71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</row>
    <row r="27" spans="1:29" ht="15" customHeight="1">
      <c r="D27" s="18" t="s">
        <v>48</v>
      </c>
      <c r="E27" s="18" t="s">
        <v>49</v>
      </c>
      <c r="F27" s="18" t="s">
        <v>50</v>
      </c>
      <c r="G27" s="18" t="s">
        <v>51</v>
      </c>
      <c r="H27" s="18" t="s">
        <v>52</v>
      </c>
      <c r="I27" s="18" t="s">
        <v>53</v>
      </c>
      <c r="J27" s="18" t="s">
        <v>54</v>
      </c>
      <c r="K27" s="18" t="s">
        <v>55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 spans="1:29" ht="15" customHeight="1">
      <c r="D28" s="15" t="s">
        <v>56</v>
      </c>
      <c r="E28" s="16">
        <f>'Operating CF'!F16</f>
        <v>0.108462926984127</v>
      </c>
      <c r="F28" s="16">
        <f>'Operating CF'!G16</f>
        <v>0.11368964812698415</v>
      </c>
      <c r="G28" s="16">
        <f>'Operating CF'!H16</f>
        <v>0.119073170904127</v>
      </c>
      <c r="H28" s="16">
        <f>'Operating CF'!I16</f>
        <v>0.12461819936458417</v>
      </c>
      <c r="I28" s="16">
        <f>'Operating CF'!J16</f>
        <v>0.13032957867885503</v>
      </c>
      <c r="J28" s="16">
        <f>'Operating CF'!K16</f>
        <v>0.136212299372554</v>
      </c>
      <c r="K28" s="16">
        <f>'Operating CF'!O16</f>
        <v>0.16156174177400034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 spans="1:29" ht="15" customHeight="1">
      <c r="D29" s="15" t="s">
        <v>57</v>
      </c>
      <c r="E29" s="17">
        <f>'Operating CF'!F15</f>
        <v>48.808317142857149</v>
      </c>
      <c r="F29" s="17">
        <f>'Operating CF'!G15</f>
        <v>51.160341657142865</v>
      </c>
      <c r="G29" s="17">
        <f>'Operating CF'!H15</f>
        <v>53.582926906857153</v>
      </c>
      <c r="H29" s="17">
        <f>'Operating CF'!I15</f>
        <v>56.078189714062873</v>
      </c>
      <c r="I29" s="17">
        <f>'Operating CF'!J15</f>
        <v>58.648310405484764</v>
      </c>
      <c r="J29" s="17">
        <f>'Operating CF'!K15</f>
        <v>61.295534717649304</v>
      </c>
      <c r="K29" s="17">
        <f>'Operating CF'!O15</f>
        <v>72.70278379830016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 spans="1:29" ht="15" customHeight="1"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 spans="1:29" ht="15" customHeight="1"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 spans="1:29" ht="15" customHeight="1"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 spans="4:29" ht="15" customHeight="1"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 spans="4:29" ht="15" customHeight="1"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 spans="4:29" ht="15" customHeight="1"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 spans="4:29" ht="15" customHeight="1"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 spans="4:29" ht="15" customHeight="1"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</row>
    <row r="38" spans="4:29" ht="15" customHeight="1"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 spans="4:29" ht="15" customHeight="1"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</row>
    <row r="40" spans="4:29" ht="15" customHeight="1"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 spans="4:29" ht="15" customHeight="1"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 spans="4:29" ht="15" customHeight="1"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 spans="4:29" ht="15" customHeight="1"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</row>
    <row r="44" spans="4:29" ht="15" customHeight="1"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spans="4:29" ht="15" customHeight="1"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</row>
    <row r="46" spans="4:29" ht="15" customHeight="1"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</row>
    <row r="47" spans="4:29" ht="15" customHeight="1"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 spans="4:29" ht="15" customHeight="1"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 spans="4:29" ht="15" customHeight="1"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</row>
    <row r="50" spans="4:29" ht="15" customHeight="1"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 spans="4:29" ht="15" customHeight="1"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</row>
    <row r="52" spans="4:29" ht="15" customHeight="1"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 spans="4:29" ht="15" customHeight="1"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</row>
    <row r="54" spans="4:29" ht="15" customHeight="1"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</row>
    <row r="55" spans="4:29" ht="15" customHeight="1"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</row>
    <row r="56" spans="4:29" ht="15" customHeight="1"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 spans="4:29" ht="15" customHeight="1"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 spans="4:29" ht="15" customHeight="1"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 spans="4:29" ht="15" customHeight="1"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</row>
    <row r="60" spans="4:29" ht="15" customHeight="1"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</row>
    <row r="61" spans="4:29" ht="15" customHeight="1"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 spans="4:29" ht="15" customHeight="1"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 spans="4:29" ht="15" customHeight="1"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 spans="4:29" ht="15" customHeight="1"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 spans="4:29" ht="15" customHeight="1"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 spans="4:29" ht="15" customHeight="1"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</row>
    <row r="67" spans="4:29" ht="15" customHeight="1"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</row>
    <row r="68" spans="4:29" ht="15" customHeight="1"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 spans="4:29" ht="15" customHeight="1"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</row>
    <row r="70" spans="4:29" ht="15" customHeight="1"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 spans="4:29" ht="15" customHeight="1"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</row>
    <row r="72" spans="4:29" ht="15" customHeight="1"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 spans="4:29" ht="15" customHeight="1"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 spans="4:29" ht="15" customHeight="1"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</row>
    <row r="75" spans="4:29" ht="15" customHeight="1"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 spans="4:29" ht="15" customHeight="1"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 spans="4:29" ht="15" customHeight="1"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 spans="4:29" ht="15" customHeight="1"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 spans="4:29" ht="15" customHeight="1"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 spans="4:29" ht="15" customHeight="1"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 spans="4:29" ht="15" customHeight="1"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 spans="4:29" ht="15" customHeight="1"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 spans="4:29" ht="15" customHeight="1"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 spans="4:29" ht="15" customHeight="1"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 spans="4:29" ht="15" customHeight="1"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</row>
    <row r="86" spans="4:29" ht="15" customHeight="1"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 spans="4:29" ht="15" customHeight="1"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</row>
    <row r="88" spans="4:29" ht="15" customHeight="1"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</row>
    <row r="89" spans="4:29" ht="15" customHeight="1"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</row>
    <row r="90" spans="4:29" ht="15" customHeight="1"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 spans="4:29" ht="15" customHeight="1"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 spans="4:29" ht="15" customHeight="1"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 spans="4:29" ht="15" customHeight="1"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 spans="4:29" ht="15" customHeight="1"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 spans="4:29" ht="15" customHeight="1"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</row>
    <row r="96" spans="4:29" ht="15" customHeight="1"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</row>
    <row r="97" spans="4:29" ht="15" customHeight="1"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</row>
    <row r="98" spans="4:29" ht="15" customHeight="1"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</row>
    <row r="99" spans="4:29" ht="15" customHeight="1"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</row>
    <row r="100" spans="4:29" ht="15" customHeight="1"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</row>
  </sheetData>
  <mergeCells count="1">
    <mergeCell ref="D24:K24"/>
  </mergeCells>
  <phoneticPr fontId="26" type="noConversion"/>
  <hyperlinks>
    <hyperlink ref="D23" location="'임대료 Summary'!A1" display="기존 무신사에서 제공한 임대료 예시가 아닌 자체 임대료 산출로 NOI 추정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"/>
  <sheetViews>
    <sheetView topLeftCell="A1048576" workbookViewId="0">
      <selection sqref="A1:XFD1048576"/>
    </sheetView>
  </sheetViews>
  <sheetFormatPr defaultRowHeight="17.399999999999999" zeroHeight="1"/>
  <sheetData/>
  <phoneticPr fontId="2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4.9989318521683403E-2"/>
  </sheetPr>
  <dimension ref="A1:AD100"/>
  <sheetViews>
    <sheetView showGridLines="0" zoomScale="55" zoomScaleNormal="55" workbookViewId="0">
      <selection activeCell="F21" sqref="F21"/>
    </sheetView>
  </sheetViews>
  <sheetFormatPr defaultColWidth="100.69921875" defaultRowHeight="17.399999999999999"/>
  <cols>
    <col min="1" max="3" width="1.69921875" style="1" customWidth="1"/>
    <col min="4" max="16384" width="100.69921875" style="1"/>
  </cols>
  <sheetData>
    <row r="1" spans="1:30" s="73" customFormat="1" ht="15" customHeight="1">
      <c r="A1" s="71" t="s">
        <v>58</v>
      </c>
      <c r="B1" s="71"/>
      <c r="C1" s="71"/>
      <c r="D1" s="71"/>
      <c r="E1" s="71"/>
      <c r="F1" s="71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</row>
    <row r="2" spans="1:30" ht="15" customHeight="1"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</row>
    <row r="3" spans="1:30" s="100" customFormat="1" ht="15" customHeight="1">
      <c r="A3" s="1"/>
      <c r="B3" s="1"/>
      <c r="C3" s="1" t="s">
        <v>0</v>
      </c>
      <c r="D3" s="71" t="s">
        <v>59</v>
      </c>
      <c r="E3" s="71"/>
      <c r="F3" s="71"/>
      <c r="G3" s="71"/>
      <c r="H3" s="71"/>
      <c r="I3" s="71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</row>
    <row r="4" spans="1:30" s="102" customFormat="1" ht="15" customHeight="1">
      <c r="A4" s="1"/>
      <c r="B4" s="1"/>
      <c r="C4" s="1"/>
      <c r="D4" s="101" t="s">
        <v>60</v>
      </c>
      <c r="E4" s="101"/>
      <c r="F4" s="101" t="s">
        <v>61</v>
      </c>
      <c r="G4" s="101" t="s">
        <v>62</v>
      </c>
      <c r="H4" s="101" t="s">
        <v>63</v>
      </c>
      <c r="I4" s="101" t="s">
        <v>64</v>
      </c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</row>
    <row r="5" spans="1:30" ht="15" customHeight="1">
      <c r="D5" s="15" t="s">
        <v>1</v>
      </c>
      <c r="E5" s="15" t="s">
        <v>65</v>
      </c>
      <c r="F5" s="139">
        <v>1073</v>
      </c>
      <c r="G5" s="15" t="s">
        <v>66</v>
      </c>
      <c r="H5" s="15" t="s">
        <v>67</v>
      </c>
      <c r="I5" s="15" t="s">
        <v>68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spans="1:30" ht="15" customHeight="1">
      <c r="D6" s="15" t="s">
        <v>69</v>
      </c>
      <c r="E6" s="15" t="s">
        <v>70</v>
      </c>
      <c r="F6" s="47">
        <v>580</v>
      </c>
      <c r="G6" s="15" t="s">
        <v>66</v>
      </c>
      <c r="H6" s="15" t="s">
        <v>71</v>
      </c>
      <c r="I6" s="15" t="s">
        <v>68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spans="1:30" ht="15" customHeight="1">
      <c r="D7" s="15" t="s">
        <v>72</v>
      </c>
      <c r="E7" s="15" t="s">
        <v>73</v>
      </c>
      <c r="F7" s="47">
        <v>312.5</v>
      </c>
      <c r="G7" s="15" t="s">
        <v>66</v>
      </c>
      <c r="H7" s="15" t="s">
        <v>71</v>
      </c>
      <c r="I7" s="15" t="s">
        <v>68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spans="1:30" ht="15" customHeight="1">
      <c r="D8" s="15" t="s">
        <v>74</v>
      </c>
      <c r="E8" s="15" t="s">
        <v>75</v>
      </c>
      <c r="F8" s="47">
        <v>116.4</v>
      </c>
      <c r="G8" s="15" t="s">
        <v>66</v>
      </c>
      <c r="H8" s="15" t="s">
        <v>71</v>
      </c>
      <c r="I8" s="15" t="s">
        <v>68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spans="1:30" ht="15" customHeight="1">
      <c r="D9" s="15" t="s">
        <v>76</v>
      </c>
      <c r="E9" s="15" t="s">
        <v>77</v>
      </c>
      <c r="F9" s="139">
        <v>64.099999999999994</v>
      </c>
      <c r="G9" s="15" t="s">
        <v>66</v>
      </c>
      <c r="H9" s="15" t="s">
        <v>78</v>
      </c>
      <c r="I9" s="15" t="s">
        <v>68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spans="1:30" ht="15" customHeight="1">
      <c r="D10" s="15" t="s">
        <v>79</v>
      </c>
      <c r="E10" s="15" t="s">
        <v>80</v>
      </c>
      <c r="F10" s="47">
        <v>450</v>
      </c>
      <c r="G10" s="15" t="s">
        <v>66</v>
      </c>
      <c r="H10" s="15" t="s">
        <v>71</v>
      </c>
      <c r="I10" s="15" t="s">
        <v>68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spans="1:30" ht="15" customHeight="1">
      <c r="D11" s="15" t="s">
        <v>81</v>
      </c>
      <c r="E11" s="15" t="s">
        <v>82</v>
      </c>
      <c r="F11" s="139">
        <v>623</v>
      </c>
      <c r="G11" s="15" t="s">
        <v>66</v>
      </c>
      <c r="H11" s="15" t="s">
        <v>83</v>
      </c>
      <c r="I11" s="15" t="s">
        <v>68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spans="1:30" ht="15" customHeight="1">
      <c r="D12" s="15" t="s">
        <v>84</v>
      </c>
      <c r="E12" s="15" t="s">
        <v>85</v>
      </c>
      <c r="F12" s="47">
        <v>130</v>
      </c>
      <c r="G12" s="15" t="s">
        <v>66</v>
      </c>
      <c r="H12" s="15" t="s">
        <v>86</v>
      </c>
      <c r="I12" s="15" t="s">
        <v>68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spans="1:30" ht="15" customHeight="1">
      <c r="D13" s="15" t="s">
        <v>87</v>
      </c>
      <c r="E13" s="15" t="s">
        <v>88</v>
      </c>
      <c r="F13" s="48">
        <v>5.7500000000000002E-2</v>
      </c>
      <c r="G13" s="15" t="s">
        <v>89</v>
      </c>
      <c r="H13" s="15" t="s">
        <v>90</v>
      </c>
      <c r="I13" s="15" t="s">
        <v>68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spans="1:30" ht="15" customHeight="1">
      <c r="D14" s="15" t="s">
        <v>91</v>
      </c>
      <c r="E14" s="15" t="s">
        <v>92</v>
      </c>
      <c r="F14" s="139">
        <v>7.7742227585999997</v>
      </c>
      <c r="G14" s="15" t="s">
        <v>66</v>
      </c>
      <c r="H14" s="15" t="s">
        <v>93</v>
      </c>
      <c r="I14" s="15" t="s">
        <v>68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spans="1:30" ht="15" customHeight="1"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spans="1:30" s="73" customFormat="1" ht="15" customHeight="1">
      <c r="A16" s="1"/>
      <c r="B16" s="1"/>
      <c r="C16" s="1" t="s">
        <v>0</v>
      </c>
      <c r="D16" s="71" t="s">
        <v>94</v>
      </c>
      <c r="E16" s="71"/>
      <c r="F16" s="71"/>
      <c r="G16" s="71"/>
      <c r="H16" s="71"/>
      <c r="I16" s="71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</row>
    <row r="17" spans="1:30" s="102" customFormat="1" ht="15" customHeight="1">
      <c r="A17" s="1"/>
      <c r="B17" s="1"/>
      <c r="C17" s="1"/>
      <c r="D17" s="101" t="s">
        <v>60</v>
      </c>
      <c r="E17" s="101"/>
      <c r="F17" s="101" t="s">
        <v>61</v>
      </c>
      <c r="G17" s="101" t="s">
        <v>62</v>
      </c>
      <c r="H17" s="101" t="s">
        <v>63</v>
      </c>
      <c r="I17" s="101" t="s">
        <v>64</v>
      </c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</row>
    <row r="18" spans="1:30" ht="15" customHeight="1">
      <c r="D18" s="15" t="s">
        <v>95</v>
      </c>
      <c r="E18" s="15" t="s">
        <v>96</v>
      </c>
      <c r="F18" s="139">
        <f>'임대료 Summary'!E6/10000</f>
        <v>78.40081714285715</v>
      </c>
      <c r="G18" s="15" t="s">
        <v>66</v>
      </c>
      <c r="H18" s="15" t="s">
        <v>97</v>
      </c>
      <c r="I18" s="15" t="s">
        <v>68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spans="1:30" ht="15" customHeight="1">
      <c r="D19" s="15" t="s">
        <v>98</v>
      </c>
      <c r="E19" s="15" t="s">
        <v>99</v>
      </c>
      <c r="F19" s="48">
        <v>0.03</v>
      </c>
      <c r="G19" s="15" t="s">
        <v>89</v>
      </c>
      <c r="H19" s="15" t="s">
        <v>100</v>
      </c>
      <c r="I19" s="15" t="s">
        <v>68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spans="1:30" ht="15" customHeight="1">
      <c r="D20" s="15" t="s">
        <v>101</v>
      </c>
      <c r="E20" s="15" t="s">
        <v>102</v>
      </c>
      <c r="F20" s="140">
        <v>623</v>
      </c>
      <c r="G20" s="15" t="s">
        <v>66</v>
      </c>
      <c r="H20" s="15" t="s">
        <v>103</v>
      </c>
      <c r="I20" s="15" t="s">
        <v>68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spans="1:30" ht="15" customHeight="1">
      <c r="D21" s="15" t="s">
        <v>104</v>
      </c>
      <c r="E21" s="15" t="s">
        <v>105</v>
      </c>
      <c r="F21" s="48">
        <v>4.7500000000000001E-2</v>
      </c>
      <c r="G21" s="15" t="s">
        <v>89</v>
      </c>
      <c r="H21" s="15" t="s">
        <v>106</v>
      </c>
      <c r="I21" s="15" t="s">
        <v>68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spans="1:30" ht="15" customHeight="1">
      <c r="D22" s="15" t="s">
        <v>107</v>
      </c>
      <c r="E22" s="15" t="s">
        <v>108</v>
      </c>
      <c r="F22" s="48">
        <v>0</v>
      </c>
      <c r="G22" s="15" t="s">
        <v>89</v>
      </c>
      <c r="H22" s="15" t="s">
        <v>109</v>
      </c>
      <c r="I22" s="15" t="s">
        <v>68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spans="1:30" ht="15" customHeight="1">
      <c r="D23" s="15" t="s">
        <v>18</v>
      </c>
      <c r="E23" s="15" t="s">
        <v>110</v>
      </c>
      <c r="F23" s="48">
        <v>4.4999999999999998E-2</v>
      </c>
      <c r="G23" s="15" t="s">
        <v>89</v>
      </c>
      <c r="H23" s="15" t="s">
        <v>111</v>
      </c>
      <c r="I23" s="15" t="s">
        <v>68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spans="1:30" ht="15" customHeight="1">
      <c r="D24" s="15" t="s">
        <v>112</v>
      </c>
      <c r="E24" s="15" t="s">
        <v>113</v>
      </c>
      <c r="F24" s="48">
        <v>0.01</v>
      </c>
      <c r="G24" s="15" t="s">
        <v>89</v>
      </c>
      <c r="H24" s="15" t="s">
        <v>114</v>
      </c>
      <c r="I24" s="15" t="s">
        <v>68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spans="1:30" ht="15" customHeight="1">
      <c r="D25" s="15" t="s">
        <v>115</v>
      </c>
      <c r="E25" s="15" t="s">
        <v>116</v>
      </c>
      <c r="F25" s="49">
        <v>10</v>
      </c>
      <c r="G25" s="15" t="s">
        <v>117</v>
      </c>
      <c r="H25" s="15" t="s">
        <v>118</v>
      </c>
      <c r="I25" s="15" t="s">
        <v>68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spans="1:30" ht="15" customHeight="1">
      <c r="D26" s="15" t="s">
        <v>119</v>
      </c>
      <c r="E26" s="15" t="s">
        <v>120</v>
      </c>
      <c r="F26" s="50">
        <v>46296</v>
      </c>
      <c r="G26" s="15" t="s">
        <v>121</v>
      </c>
      <c r="H26" s="15" t="s">
        <v>122</v>
      </c>
      <c r="I26" s="15" t="s">
        <v>68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spans="1:30" ht="15" customHeight="1">
      <c r="D27" s="15" t="s">
        <v>123</v>
      </c>
      <c r="E27" s="15" t="s">
        <v>124</v>
      </c>
      <c r="F27" s="50">
        <v>47300</v>
      </c>
      <c r="G27" s="15" t="s">
        <v>121</v>
      </c>
      <c r="H27" s="15" t="s">
        <v>125</v>
      </c>
      <c r="I27" s="15" t="s">
        <v>68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spans="1:30" ht="15" customHeight="1"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spans="1:30" s="73" customFormat="1" ht="15" customHeight="1">
      <c r="A29" s="1"/>
      <c r="B29" s="1"/>
      <c r="C29" s="1" t="s">
        <v>0</v>
      </c>
      <c r="D29" s="71" t="s">
        <v>126</v>
      </c>
      <c r="E29" s="71"/>
      <c r="F29" s="71"/>
      <c r="G29" s="71"/>
      <c r="H29" s="71"/>
      <c r="I29" s="71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</row>
    <row r="30" spans="1:30" s="102" customFormat="1" ht="15" customHeight="1">
      <c r="A30" s="1"/>
      <c r="B30" s="1"/>
      <c r="C30" s="1"/>
      <c r="D30" s="101" t="s">
        <v>127</v>
      </c>
      <c r="E30" s="101"/>
      <c r="F30" s="101" t="s">
        <v>128</v>
      </c>
      <c r="G30" s="101" t="s">
        <v>129</v>
      </c>
      <c r="H30" s="101" t="s">
        <v>130</v>
      </c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</row>
    <row r="31" spans="1:30" ht="15" customHeight="1">
      <c r="D31" s="15" t="s">
        <v>131</v>
      </c>
      <c r="E31" s="15" t="s">
        <v>132</v>
      </c>
      <c r="F31" s="15" t="s">
        <v>133</v>
      </c>
      <c r="G31" s="15" t="s">
        <v>134</v>
      </c>
      <c r="H31" s="46" t="s">
        <v>135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spans="1:30" ht="15" customHeight="1">
      <c r="D32" s="15" t="s">
        <v>136</v>
      </c>
      <c r="E32" s="15" t="s">
        <v>137</v>
      </c>
      <c r="F32" s="15" t="s">
        <v>138</v>
      </c>
      <c r="G32" s="15" t="s">
        <v>139</v>
      </c>
      <c r="H32" s="46" t="s">
        <v>140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spans="4:30" ht="15" customHeight="1">
      <c r="D33" s="15" t="s">
        <v>141</v>
      </c>
      <c r="E33" s="15" t="s">
        <v>142</v>
      </c>
      <c r="F33" s="15" t="s">
        <v>143</v>
      </c>
      <c r="G33" s="15" t="s">
        <v>144</v>
      </c>
      <c r="H33" s="46" t="s">
        <v>145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spans="4:30" ht="15" customHeight="1"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spans="4:30" ht="15" customHeight="1"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spans="4:30" ht="15" customHeight="1"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spans="4:30" ht="15" customHeight="1"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spans="4:30" ht="15" customHeight="1"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spans="4:30" ht="15" customHeight="1"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spans="4:30" ht="15" customHeight="1"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spans="4:30" ht="15" customHeight="1"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spans="4:30" ht="15" customHeight="1"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spans="4:30" ht="15" customHeight="1"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spans="4:30" ht="15" customHeight="1"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spans="4:30" ht="15" customHeight="1"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spans="4:30" ht="15" customHeight="1"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spans="4:30" ht="15" customHeight="1"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spans="4:30" ht="15" customHeight="1"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spans="4:30" ht="15" customHeight="1"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spans="4:30" ht="15" customHeight="1"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spans="4:30" ht="15" customHeight="1"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spans="4:30" ht="15" customHeight="1"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spans="4:30" ht="15" customHeight="1"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spans="4:30" ht="15" customHeight="1"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spans="4:30" ht="15" customHeight="1"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spans="4:30" ht="15" customHeight="1"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spans="4:30" ht="15" customHeight="1"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spans="4:30" ht="15" customHeight="1"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spans="4:30" ht="15" customHeight="1"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spans="4:30" ht="15" customHeight="1"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spans="4:30" ht="15" customHeight="1"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spans="4:30" ht="15" customHeight="1"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spans="4:30" ht="15" customHeight="1"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spans="4:30" ht="15" customHeight="1"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spans="4:30" ht="15" customHeight="1"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spans="4:30" ht="15" customHeight="1"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spans="4:30" ht="15" customHeight="1"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spans="4:30" ht="15" customHeight="1"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spans="4:30" ht="15" customHeight="1"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spans="4:30" ht="15" customHeight="1"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spans="4:30" ht="15" customHeight="1"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spans="4:30" ht="15" customHeight="1"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spans="4:30" ht="15" customHeight="1"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spans="4:30" ht="15" customHeight="1"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spans="4:30" ht="15" customHeight="1"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spans="4:30" ht="15" customHeight="1"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spans="4:30" ht="15" customHeight="1"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spans="4:30" ht="15" customHeight="1"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spans="4:30" ht="15" customHeight="1"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spans="4:30" ht="15" customHeight="1"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spans="4:30" ht="15" customHeight="1"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spans="4:30" ht="15" customHeight="1"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spans="4:30" ht="15" customHeight="1"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spans="4:30" ht="15" customHeight="1"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spans="4:30" ht="15" customHeight="1"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spans="4:30" ht="15" customHeight="1"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spans="4:30" ht="15" customHeight="1"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spans="4:30" ht="15" customHeight="1"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spans="4:30" ht="15" customHeight="1"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spans="4:30" ht="15" customHeight="1"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spans="4:30" ht="15" customHeight="1"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spans="4:30" ht="15" customHeight="1"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spans="4:30" ht="15" customHeight="1"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spans="4:30" ht="15" customHeight="1"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spans="4:30" ht="15" customHeight="1"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spans="4:30" ht="15" customHeight="1"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spans="4:30" ht="15" customHeight="1"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spans="4:30" ht="15" customHeight="1"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spans="4:30" ht="15" customHeight="1"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spans="4:30" ht="15" customHeight="1"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</sheetData>
  <phoneticPr fontId="26" type="noConversion"/>
  <hyperlinks>
    <hyperlink ref="H31" r:id="rId1" xr:uid="{00000000-0004-0000-0300-000000000000}"/>
    <hyperlink ref="H32" r:id="rId2" xr:uid="{00000000-0004-0000-0300-000001000000}"/>
    <hyperlink ref="H33" r:id="rId3" xr:uid="{00000000-0004-0000-0300-000002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4.9989318521683403E-2"/>
  </sheetPr>
  <dimension ref="A1:AC100"/>
  <sheetViews>
    <sheetView showGridLines="0" zoomScale="70" zoomScaleNormal="70" workbookViewId="0">
      <selection activeCell="K13" sqref="K13"/>
    </sheetView>
  </sheetViews>
  <sheetFormatPr defaultColWidth="15.69921875" defaultRowHeight="17.399999999999999"/>
  <cols>
    <col min="1" max="3" width="1.69921875" style="2" customWidth="1"/>
    <col min="4" max="4" width="30.69921875" style="2" customWidth="1"/>
    <col min="5" max="16384" width="15.69921875" style="2"/>
  </cols>
  <sheetData>
    <row r="1" spans="1:29" s="77" customFormat="1" ht="15" customHeight="1">
      <c r="A1" s="2"/>
      <c r="B1" s="2"/>
      <c r="C1" s="2" t="s">
        <v>0</v>
      </c>
      <c r="D1" s="74" t="s">
        <v>146</v>
      </c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</row>
    <row r="2" spans="1:29" ht="15" customHeight="1">
      <c r="D2" s="23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 ht="15" customHeight="1">
      <c r="D3" s="35" t="s">
        <v>147</v>
      </c>
      <c r="E3" s="36"/>
      <c r="F3" s="36" t="s">
        <v>49</v>
      </c>
      <c r="G3" s="36" t="s">
        <v>50</v>
      </c>
      <c r="H3" s="36" t="s">
        <v>51</v>
      </c>
      <c r="I3" s="36" t="s">
        <v>52</v>
      </c>
      <c r="J3" s="36" t="s">
        <v>53</v>
      </c>
      <c r="K3" s="36" t="s">
        <v>54</v>
      </c>
      <c r="L3" s="36" t="s">
        <v>148</v>
      </c>
      <c r="M3" s="36" t="s">
        <v>149</v>
      </c>
      <c r="N3" s="36" t="s">
        <v>150</v>
      </c>
      <c r="O3" s="36" t="s">
        <v>55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</row>
    <row r="4" spans="1:29" ht="15" customHeight="1">
      <c r="D4" s="23" t="s">
        <v>151</v>
      </c>
      <c r="F4" s="24">
        <v>47665</v>
      </c>
      <c r="G4" s="24">
        <v>48030</v>
      </c>
      <c r="H4" s="24">
        <v>48396</v>
      </c>
      <c r="I4" s="24">
        <v>48761</v>
      </c>
      <c r="J4" s="24">
        <v>49126</v>
      </c>
      <c r="K4" s="24">
        <v>49491</v>
      </c>
      <c r="L4" s="24">
        <v>49857</v>
      </c>
      <c r="M4" s="24">
        <v>50222</v>
      </c>
      <c r="N4" s="24">
        <v>50587</v>
      </c>
      <c r="O4" s="24">
        <v>50952</v>
      </c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</row>
    <row r="5" spans="1:29" ht="15" customHeight="1">
      <c r="D5" s="23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</row>
    <row r="6" spans="1:29" ht="15" customHeight="1">
      <c r="D6" s="23" t="s">
        <v>152</v>
      </c>
      <c r="F6" s="25">
        <f>Assumptions!$F$18</f>
        <v>78.40081714285715</v>
      </c>
      <c r="G6" s="25">
        <f>F6*(1+Assumptions!$F$19)</f>
        <v>80.752841657142866</v>
      </c>
      <c r="H6" s="25">
        <f>G6*(1+Assumptions!$F$19)</f>
        <v>83.175426906857155</v>
      </c>
      <c r="I6" s="25">
        <f>H6*(1+Assumptions!$F$19)</f>
        <v>85.670689714062874</v>
      </c>
      <c r="J6" s="25">
        <f>I6*(1+Assumptions!$F$19)</f>
        <v>88.240810405484766</v>
      </c>
      <c r="K6" s="25">
        <f>J6*(1+Assumptions!$F$19)</f>
        <v>90.888034717649305</v>
      </c>
      <c r="L6" s="25">
        <f>K6*(1+Assumptions!$F$19)</f>
        <v>93.61467575917878</v>
      </c>
      <c r="M6" s="25">
        <f>L6*(1+Assumptions!$F$19)</f>
        <v>96.423116031954152</v>
      </c>
      <c r="N6" s="25">
        <f>M6*(1+Assumptions!$F$19)</f>
        <v>99.315809512912779</v>
      </c>
      <c r="O6" s="25">
        <f>N6*(1+Assumptions!$F$19)</f>
        <v>102.29528379830016</v>
      </c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</row>
    <row r="7" spans="1:29" ht="15" customHeight="1">
      <c r="D7" s="23" t="s">
        <v>153</v>
      </c>
      <c r="F7" s="144">
        <v>0</v>
      </c>
      <c r="G7" s="144">
        <f t="shared" ref="G7:O7" si="0">G6/F6-1</f>
        <v>3.0000000000000027E-2</v>
      </c>
      <c r="H7" s="144">
        <f t="shared" si="0"/>
        <v>3.0000000000000027E-2</v>
      </c>
      <c r="I7" s="144">
        <f t="shared" si="0"/>
        <v>3.0000000000000027E-2</v>
      </c>
      <c r="J7" s="144">
        <f t="shared" si="0"/>
        <v>3.0000000000000027E-2</v>
      </c>
      <c r="K7" s="144">
        <f t="shared" si="0"/>
        <v>3.0000000000000027E-2</v>
      </c>
      <c r="L7" s="144">
        <f t="shared" si="0"/>
        <v>3.0000000000000027E-2</v>
      </c>
      <c r="M7" s="144">
        <f t="shared" si="0"/>
        <v>3.0000000000000027E-2</v>
      </c>
      <c r="N7" s="144">
        <f t="shared" si="0"/>
        <v>3.0000000000000027E-2</v>
      </c>
      <c r="O7" s="144">
        <f t="shared" si="0"/>
        <v>3.0000000000000027E-2</v>
      </c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</row>
    <row r="8" spans="1:29" ht="15" customHeight="1">
      <c r="D8" s="23"/>
      <c r="F8" s="27"/>
      <c r="G8" s="27"/>
      <c r="H8" s="27"/>
      <c r="I8" s="27"/>
      <c r="J8" s="27"/>
      <c r="K8" s="27"/>
      <c r="L8" s="27"/>
      <c r="M8" s="27"/>
      <c r="N8" s="27"/>
      <c r="O8" s="27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</row>
    <row r="9" spans="1:29" ht="15" customHeight="1">
      <c r="D9" s="23" t="s">
        <v>154</v>
      </c>
      <c r="F9" s="25">
        <f>Assumptions!$F$20</f>
        <v>623</v>
      </c>
      <c r="G9" s="25">
        <f t="shared" ref="G9:O9" si="1">F13</f>
        <v>623</v>
      </c>
      <c r="H9" s="25">
        <f t="shared" si="1"/>
        <v>623</v>
      </c>
      <c r="I9" s="25">
        <f t="shared" si="1"/>
        <v>623</v>
      </c>
      <c r="J9" s="25">
        <f t="shared" si="1"/>
        <v>623</v>
      </c>
      <c r="K9" s="25">
        <f t="shared" si="1"/>
        <v>623</v>
      </c>
      <c r="L9" s="25">
        <f t="shared" si="1"/>
        <v>623</v>
      </c>
      <c r="M9" s="25">
        <f t="shared" si="1"/>
        <v>623</v>
      </c>
      <c r="N9" s="25">
        <f t="shared" si="1"/>
        <v>623</v>
      </c>
      <c r="O9" s="25">
        <f t="shared" si="1"/>
        <v>623</v>
      </c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</row>
    <row r="10" spans="1:29" ht="15" customHeight="1">
      <c r="D10" s="23" t="s">
        <v>155</v>
      </c>
      <c r="F10" s="28">
        <f>Assumptions!$F$21</f>
        <v>4.7500000000000001E-2</v>
      </c>
      <c r="G10" s="28">
        <f>Assumptions!$F$21</f>
        <v>4.7500000000000001E-2</v>
      </c>
      <c r="H10" s="28">
        <f>Assumptions!$F$21</f>
        <v>4.7500000000000001E-2</v>
      </c>
      <c r="I10" s="28">
        <f>Assumptions!$F$21</f>
        <v>4.7500000000000001E-2</v>
      </c>
      <c r="J10" s="28">
        <f>Assumptions!$F$21</f>
        <v>4.7500000000000001E-2</v>
      </c>
      <c r="K10" s="28">
        <f>Assumptions!$F$21</f>
        <v>4.7500000000000001E-2</v>
      </c>
      <c r="L10" s="28">
        <f>Assumptions!$F$21</f>
        <v>4.7500000000000001E-2</v>
      </c>
      <c r="M10" s="28">
        <f>Assumptions!$F$21</f>
        <v>4.7500000000000001E-2</v>
      </c>
      <c r="N10" s="28">
        <f>Assumptions!$F$21</f>
        <v>4.7500000000000001E-2</v>
      </c>
      <c r="O10" s="28">
        <f>Assumptions!$F$21</f>
        <v>4.7500000000000001E-2</v>
      </c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</row>
    <row r="11" spans="1:29" ht="15" customHeight="1">
      <c r="D11" s="23" t="s">
        <v>156</v>
      </c>
      <c r="F11" s="25">
        <f t="shared" ref="F11:O11" si="2">F9*F10</f>
        <v>29.592500000000001</v>
      </c>
      <c r="G11" s="25">
        <f t="shared" si="2"/>
        <v>29.592500000000001</v>
      </c>
      <c r="H11" s="25">
        <f t="shared" si="2"/>
        <v>29.592500000000001</v>
      </c>
      <c r="I11" s="25">
        <f t="shared" si="2"/>
        <v>29.592500000000001</v>
      </c>
      <c r="J11" s="25">
        <f t="shared" si="2"/>
        <v>29.592500000000001</v>
      </c>
      <c r="K11" s="25">
        <f t="shared" si="2"/>
        <v>29.592500000000001</v>
      </c>
      <c r="L11" s="25">
        <f t="shared" si="2"/>
        <v>29.592500000000001</v>
      </c>
      <c r="M11" s="25">
        <f t="shared" si="2"/>
        <v>29.592500000000001</v>
      </c>
      <c r="N11" s="25">
        <f t="shared" si="2"/>
        <v>29.592500000000001</v>
      </c>
      <c r="O11" s="25">
        <f t="shared" si="2"/>
        <v>29.592500000000001</v>
      </c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ht="15" customHeight="1">
      <c r="D12" s="23" t="s">
        <v>107</v>
      </c>
      <c r="E12" s="3"/>
      <c r="F12" s="25">
        <f>F9*Assumptions!$F$22</f>
        <v>0</v>
      </c>
      <c r="G12" s="25">
        <f>G9*Assumptions!$F$22</f>
        <v>0</v>
      </c>
      <c r="H12" s="25">
        <f>H9*Assumptions!$F$22</f>
        <v>0</v>
      </c>
      <c r="I12" s="25">
        <f>I9*Assumptions!$F$22</f>
        <v>0</v>
      </c>
      <c r="J12" s="25">
        <f>J9*Assumptions!$F$22</f>
        <v>0</v>
      </c>
      <c r="K12" s="25">
        <f>K9*Assumptions!$F$22</f>
        <v>0</v>
      </c>
      <c r="L12" s="25">
        <f>L9*Assumptions!$F$22</f>
        <v>0</v>
      </c>
      <c r="M12" s="25">
        <f>M9*Assumptions!$F$22</f>
        <v>0</v>
      </c>
      <c r="N12" s="25">
        <f>N9*Assumptions!$F$22</f>
        <v>0</v>
      </c>
      <c r="O12" s="25">
        <f>O9*Assumptions!$F$22</f>
        <v>0</v>
      </c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</row>
    <row r="13" spans="1:29" ht="15" customHeight="1">
      <c r="D13" s="29" t="s">
        <v>157</v>
      </c>
      <c r="F13" s="30">
        <f t="shared" ref="F13:O13" si="3">F9-F12</f>
        <v>623</v>
      </c>
      <c r="G13" s="30">
        <f t="shared" si="3"/>
        <v>623</v>
      </c>
      <c r="H13" s="30">
        <f t="shared" si="3"/>
        <v>623</v>
      </c>
      <c r="I13" s="30">
        <f t="shared" si="3"/>
        <v>623</v>
      </c>
      <c r="J13" s="30">
        <f t="shared" si="3"/>
        <v>623</v>
      </c>
      <c r="K13" s="30">
        <f t="shared" si="3"/>
        <v>623</v>
      </c>
      <c r="L13" s="30">
        <f t="shared" si="3"/>
        <v>623</v>
      </c>
      <c r="M13" s="30">
        <f t="shared" si="3"/>
        <v>623</v>
      </c>
      <c r="N13" s="30">
        <f t="shared" si="3"/>
        <v>623</v>
      </c>
      <c r="O13" s="30">
        <f t="shared" si="3"/>
        <v>623</v>
      </c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</row>
    <row r="14" spans="1:29" ht="15" customHeight="1">
      <c r="D14" s="23"/>
      <c r="E14" s="3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</row>
    <row r="15" spans="1:29" ht="15" customHeight="1">
      <c r="D15" s="29" t="s">
        <v>158</v>
      </c>
      <c r="F15" s="30">
        <f t="shared" ref="F15:O15" si="4">F6-F11-F12</f>
        <v>48.808317142857149</v>
      </c>
      <c r="G15" s="30">
        <f t="shared" si="4"/>
        <v>51.160341657142865</v>
      </c>
      <c r="H15" s="30">
        <f t="shared" si="4"/>
        <v>53.582926906857153</v>
      </c>
      <c r="I15" s="30">
        <f t="shared" si="4"/>
        <v>56.078189714062873</v>
      </c>
      <c r="J15" s="30">
        <f t="shared" si="4"/>
        <v>58.648310405484764</v>
      </c>
      <c r="K15" s="30">
        <f t="shared" si="4"/>
        <v>61.295534717649304</v>
      </c>
      <c r="L15" s="30">
        <f t="shared" si="4"/>
        <v>64.022175759178779</v>
      </c>
      <c r="M15" s="30">
        <f t="shared" si="4"/>
        <v>66.83061603195415</v>
      </c>
      <c r="N15" s="30">
        <f t="shared" si="4"/>
        <v>69.723309512912778</v>
      </c>
      <c r="O15" s="30">
        <f t="shared" si="4"/>
        <v>72.70278379830016</v>
      </c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</row>
    <row r="16" spans="1:29" ht="15" customHeight="1">
      <c r="D16" s="23" t="s">
        <v>159</v>
      </c>
      <c r="F16" s="28">
        <f>F15/Assumptions!$F$10</f>
        <v>0.108462926984127</v>
      </c>
      <c r="G16" s="28">
        <f>G15/Assumptions!$F$10</f>
        <v>0.11368964812698415</v>
      </c>
      <c r="H16" s="28">
        <f>H15/Assumptions!$F$10</f>
        <v>0.119073170904127</v>
      </c>
      <c r="I16" s="28">
        <f>I15/Assumptions!$F$10</f>
        <v>0.12461819936458417</v>
      </c>
      <c r="J16" s="28">
        <f>J15/Assumptions!$F$10</f>
        <v>0.13032957867885503</v>
      </c>
      <c r="K16" s="28">
        <f>K15/Assumptions!$F$10</f>
        <v>0.136212299372554</v>
      </c>
      <c r="L16" s="28">
        <f>L15/Assumptions!$F$10</f>
        <v>0.14227150168706396</v>
      </c>
      <c r="M16" s="28">
        <f>M15/Assumptions!$F$10</f>
        <v>0.14851248007100923</v>
      </c>
      <c r="N16" s="28">
        <f>N15/Assumptions!$F$10</f>
        <v>0.15494068780647283</v>
      </c>
      <c r="O16" s="28">
        <f>O15/Assumptions!$F$10</f>
        <v>0.16156174177400034</v>
      </c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</row>
    <row r="17" spans="1:29" ht="15" customHeight="1">
      <c r="D17" s="23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</row>
    <row r="18" spans="1:29" ht="15" customHeight="1">
      <c r="D18" s="23" t="s">
        <v>160</v>
      </c>
      <c r="F18" s="31">
        <v>0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25">
        <f>O6*(1+Assumptions!$F$19)</f>
        <v>105.36414231224917</v>
      </c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</row>
    <row r="19" spans="1:29" ht="15" customHeight="1">
      <c r="D19" s="23" t="s">
        <v>18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O19" s="28">
        <f>Assumptions!$F$23</f>
        <v>4.4999999999999998E-2</v>
      </c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</row>
    <row r="20" spans="1:29" ht="15" customHeight="1">
      <c r="D20" s="23" t="s">
        <v>5</v>
      </c>
      <c r="F20" s="31">
        <v>0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25">
        <f>O18/O19</f>
        <v>2341.4253847166483</v>
      </c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 spans="1:29" ht="15" customHeight="1">
      <c r="D21" s="23" t="s">
        <v>112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25">
        <f>O20*Assumptions!$F$24</f>
        <v>23.414253847166485</v>
      </c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</row>
    <row r="22" spans="1:29" ht="15" customHeight="1">
      <c r="D22" s="23" t="s">
        <v>161</v>
      </c>
      <c r="E22" s="3"/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25">
        <f>O13</f>
        <v>623</v>
      </c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</row>
    <row r="23" spans="1:29" ht="15" customHeight="1">
      <c r="D23" s="29" t="s">
        <v>162</v>
      </c>
      <c r="F23" s="32">
        <v>0</v>
      </c>
      <c r="G23" s="32">
        <v>0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0">
        <f>O20-O21-O22</f>
        <v>1695.0111308694818</v>
      </c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</row>
    <row r="24" spans="1:29" ht="15" customHeight="1">
      <c r="D24" s="23"/>
      <c r="E24" s="3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</row>
    <row r="25" spans="1:29" ht="15" customHeight="1">
      <c r="D25" s="29" t="s">
        <v>163</v>
      </c>
      <c r="F25" s="32">
        <f t="shared" ref="F25:O25" si="5">F15+F23</f>
        <v>48.808317142857149</v>
      </c>
      <c r="G25" s="32">
        <f t="shared" si="5"/>
        <v>51.160341657142865</v>
      </c>
      <c r="H25" s="32">
        <f t="shared" si="5"/>
        <v>53.582926906857153</v>
      </c>
      <c r="I25" s="32">
        <f t="shared" si="5"/>
        <v>56.078189714062873</v>
      </c>
      <c r="J25" s="32">
        <f t="shared" si="5"/>
        <v>58.648310405484764</v>
      </c>
      <c r="K25" s="32">
        <f t="shared" si="5"/>
        <v>61.295534717649304</v>
      </c>
      <c r="L25" s="32">
        <f t="shared" si="5"/>
        <v>64.022175759178779</v>
      </c>
      <c r="M25" s="32">
        <f t="shared" si="5"/>
        <v>66.83061603195415</v>
      </c>
      <c r="N25" s="32">
        <f t="shared" si="5"/>
        <v>69.723309512912778</v>
      </c>
      <c r="O25" s="32">
        <f t="shared" si="5"/>
        <v>1767.7139146677819</v>
      </c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</row>
    <row r="26" spans="1:29" ht="15" customHeight="1">
      <c r="D26" s="23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</row>
    <row r="27" spans="1:29" ht="15" customHeight="1">
      <c r="D27" s="23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</row>
    <row r="28" spans="1:29" s="77" customFormat="1" ht="15" customHeight="1">
      <c r="A28" s="2"/>
      <c r="B28" s="2"/>
      <c r="C28" s="2" t="s">
        <v>0</v>
      </c>
      <c r="D28" s="74" t="s">
        <v>164</v>
      </c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</row>
    <row r="29" spans="1:29" ht="15" customHeight="1">
      <c r="D29" s="35" t="s">
        <v>48</v>
      </c>
      <c r="E29" s="36" t="s">
        <v>165</v>
      </c>
      <c r="F29" s="36" t="s">
        <v>49</v>
      </c>
      <c r="G29" s="36" t="s">
        <v>50</v>
      </c>
      <c r="H29" s="36" t="s">
        <v>51</v>
      </c>
      <c r="I29" s="36" t="s">
        <v>52</v>
      </c>
      <c r="J29" s="36" t="s">
        <v>53</v>
      </c>
      <c r="K29" s="36" t="s">
        <v>54</v>
      </c>
      <c r="L29" s="36" t="s">
        <v>148</v>
      </c>
      <c r="M29" s="36" t="s">
        <v>149</v>
      </c>
      <c r="N29" s="36" t="s">
        <v>150</v>
      </c>
      <c r="O29" s="36" t="s">
        <v>55</v>
      </c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</row>
    <row r="30" spans="1:29" ht="15" customHeight="1">
      <c r="D30" s="23" t="s">
        <v>166</v>
      </c>
      <c r="E30" s="24">
        <f>Assumptions!$F$26</f>
        <v>46296</v>
      </c>
      <c r="F30" s="24">
        <f t="shared" ref="F30:O30" si="6">F4</f>
        <v>47665</v>
      </c>
      <c r="G30" s="24">
        <f t="shared" si="6"/>
        <v>48030</v>
      </c>
      <c r="H30" s="24">
        <f t="shared" si="6"/>
        <v>48396</v>
      </c>
      <c r="I30" s="24">
        <f t="shared" si="6"/>
        <v>48761</v>
      </c>
      <c r="J30" s="24">
        <f t="shared" si="6"/>
        <v>49126</v>
      </c>
      <c r="K30" s="24">
        <f t="shared" si="6"/>
        <v>49491</v>
      </c>
      <c r="L30" s="24">
        <f t="shared" si="6"/>
        <v>49857</v>
      </c>
      <c r="M30" s="24">
        <f t="shared" si="6"/>
        <v>50222</v>
      </c>
      <c r="N30" s="24">
        <f t="shared" si="6"/>
        <v>50587</v>
      </c>
      <c r="O30" s="24">
        <f t="shared" si="6"/>
        <v>50952</v>
      </c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</row>
    <row r="31" spans="1:29" ht="15" customHeight="1">
      <c r="D31" s="23" t="s">
        <v>167</v>
      </c>
      <c r="E31" s="25">
        <f>-Assumptions!$F$10</f>
        <v>-450</v>
      </c>
      <c r="F31" s="25">
        <f t="shared" ref="F31:O31" si="7">F25</f>
        <v>48.808317142857149</v>
      </c>
      <c r="G31" s="25">
        <f t="shared" si="7"/>
        <v>51.160341657142865</v>
      </c>
      <c r="H31" s="25">
        <f t="shared" si="7"/>
        <v>53.582926906857153</v>
      </c>
      <c r="I31" s="25">
        <f t="shared" si="7"/>
        <v>56.078189714062873</v>
      </c>
      <c r="J31" s="25">
        <f t="shared" si="7"/>
        <v>58.648310405484764</v>
      </c>
      <c r="K31" s="25">
        <f t="shared" si="7"/>
        <v>61.295534717649304</v>
      </c>
      <c r="L31" s="25">
        <f t="shared" si="7"/>
        <v>64.022175759178779</v>
      </c>
      <c r="M31" s="25">
        <f t="shared" si="7"/>
        <v>66.83061603195415</v>
      </c>
      <c r="N31" s="25">
        <f t="shared" si="7"/>
        <v>69.723309512912778</v>
      </c>
      <c r="O31" s="25">
        <f t="shared" si="7"/>
        <v>1767.7139146677819</v>
      </c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</row>
    <row r="32" spans="1:29" ht="15" customHeight="1">
      <c r="D32" s="23" t="s">
        <v>168</v>
      </c>
      <c r="E32" s="25">
        <f>-Assumptions!$F$10</f>
        <v>-450</v>
      </c>
      <c r="F32" s="25">
        <f t="shared" ref="F32:O32" si="8">F25</f>
        <v>48.808317142857149</v>
      </c>
      <c r="G32" s="25">
        <f t="shared" si="8"/>
        <v>51.160341657142865</v>
      </c>
      <c r="H32" s="25">
        <f t="shared" si="8"/>
        <v>53.582926906857153</v>
      </c>
      <c r="I32" s="25">
        <f t="shared" si="8"/>
        <v>56.078189714062873</v>
      </c>
      <c r="J32" s="25">
        <f t="shared" si="8"/>
        <v>58.648310405484764</v>
      </c>
      <c r="K32" s="25">
        <f t="shared" si="8"/>
        <v>61.295534717649304</v>
      </c>
      <c r="L32" s="25">
        <f t="shared" si="8"/>
        <v>64.022175759178779</v>
      </c>
      <c r="M32" s="25">
        <f t="shared" si="8"/>
        <v>66.83061603195415</v>
      </c>
      <c r="N32" s="25">
        <f t="shared" si="8"/>
        <v>69.723309512912778</v>
      </c>
      <c r="O32" s="25">
        <f t="shared" si="8"/>
        <v>1767.7139146677819</v>
      </c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</row>
    <row r="33" spans="4:29" ht="15" customHeight="1">
      <c r="D33" s="23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</row>
    <row r="34" spans="4:29" ht="15" customHeight="1">
      <c r="D34" s="23" t="s">
        <v>169</v>
      </c>
      <c r="E34" s="27" t="s">
        <v>61</v>
      </c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</row>
    <row r="35" spans="4:29" ht="15" customHeight="1">
      <c r="D35" s="23" t="s">
        <v>170</v>
      </c>
      <c r="E35" s="28">
        <f>XIRR(E31:O31,E30:O30)</f>
        <v>0.15724347233772279</v>
      </c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</row>
    <row r="36" spans="4:29" ht="15" customHeight="1">
      <c r="D36" s="23" t="s">
        <v>171</v>
      </c>
      <c r="E36" s="28">
        <f>IRR(E32:O32)</f>
        <v>0.2210012760736666</v>
      </c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</row>
    <row r="37" spans="4:29" ht="15" customHeight="1">
      <c r="D37" s="23" t="s">
        <v>13</v>
      </c>
      <c r="E37" s="33">
        <f>SUM(F31:O31)/ABS(E31)</f>
        <v>5.1063636367019596</v>
      </c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</row>
    <row r="38" spans="4:29" ht="15" customHeight="1">
      <c r="D38" s="23" t="s">
        <v>172</v>
      </c>
      <c r="E38" s="34" t="str">
        <f>TEXT(F16,"0.0%")&amp;" / "&amp;TEXT(O16,"0.0%")</f>
        <v>10.8% / 16.2%</v>
      </c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</row>
    <row r="39" spans="4:29" ht="15" customHeight="1"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</row>
    <row r="40" spans="4:29" ht="15" customHeight="1"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</row>
    <row r="41" spans="4:29" ht="15" customHeight="1"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 spans="4:29" ht="15" customHeight="1"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 spans="4:29" ht="15" customHeight="1"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 spans="4:29" ht="15" customHeight="1"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 spans="4:29" ht="15" customHeight="1"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</row>
    <row r="46" spans="4:29" ht="15" customHeight="1"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</row>
    <row r="47" spans="4:29" ht="15" customHeight="1"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</row>
    <row r="48" spans="4:29" ht="15" customHeight="1"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</row>
    <row r="49" spans="4:29" ht="15" customHeight="1"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</row>
    <row r="50" spans="4:29" ht="15" customHeight="1"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</row>
    <row r="51" spans="4:29" ht="15" customHeight="1"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 spans="4:29" ht="15" customHeight="1"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</row>
    <row r="53" spans="4:29" ht="15" customHeight="1"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</row>
    <row r="54" spans="4:29" ht="15" customHeight="1"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</row>
    <row r="55" spans="4:29" ht="15" customHeight="1"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</row>
    <row r="56" spans="4:29" ht="15" customHeight="1"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</row>
    <row r="57" spans="4:29" ht="15" customHeight="1"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</row>
    <row r="58" spans="4:29" ht="15" customHeight="1"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</row>
    <row r="59" spans="4:29" ht="15" customHeight="1"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</row>
    <row r="60" spans="4:29" ht="15" customHeight="1"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</row>
    <row r="61" spans="4:29" ht="15" customHeight="1"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</row>
    <row r="62" spans="4:29" ht="15" customHeight="1"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</row>
    <row r="63" spans="4:29" ht="15" customHeight="1"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</row>
    <row r="64" spans="4:29" ht="15" customHeight="1"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</row>
    <row r="65" spans="4:29" ht="15" customHeight="1"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</row>
    <row r="66" spans="4:29" ht="15" customHeight="1"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</row>
    <row r="67" spans="4:29" ht="15" customHeight="1"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</row>
    <row r="68" spans="4:29" ht="15" customHeight="1"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</row>
    <row r="69" spans="4:29" ht="15" customHeight="1"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</row>
    <row r="70" spans="4:29" ht="15" customHeight="1"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</row>
    <row r="71" spans="4:29" ht="15" customHeight="1"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</row>
    <row r="72" spans="4:29" ht="15" customHeight="1"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</row>
    <row r="73" spans="4:29" ht="15" customHeight="1"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</row>
    <row r="74" spans="4:29" ht="15" customHeight="1"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</row>
    <row r="75" spans="4:29" ht="15" customHeight="1"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</row>
    <row r="76" spans="4:29" ht="15" customHeight="1"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</row>
    <row r="77" spans="4:29" ht="15" customHeight="1"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</row>
    <row r="78" spans="4:29" ht="15" customHeight="1"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</row>
    <row r="79" spans="4:29" ht="15" customHeight="1"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</row>
    <row r="80" spans="4:29" ht="15" customHeight="1"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</row>
    <row r="81" spans="4:29" ht="15" customHeight="1"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</row>
    <row r="82" spans="4:29" ht="15" customHeight="1"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</row>
    <row r="83" spans="4:29" ht="15" customHeight="1"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</row>
    <row r="84" spans="4:29" ht="15" customHeight="1"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</row>
    <row r="85" spans="4:29" ht="15" customHeight="1"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</row>
    <row r="86" spans="4:29" ht="15" customHeight="1"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</row>
    <row r="87" spans="4:29" ht="15" customHeight="1"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</row>
    <row r="88" spans="4:29" ht="15" customHeight="1"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</row>
    <row r="89" spans="4:29" ht="15" customHeight="1"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</row>
    <row r="90" spans="4:29" ht="15" customHeight="1"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</row>
    <row r="91" spans="4:29" ht="15" customHeight="1"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</row>
    <row r="92" spans="4:29" ht="15" customHeight="1"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</row>
    <row r="93" spans="4:29" ht="15" customHeight="1"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</row>
    <row r="94" spans="4:29" ht="15" customHeight="1"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</row>
    <row r="95" spans="4:29" ht="15" customHeight="1"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</row>
    <row r="96" spans="4:29" ht="15" customHeight="1"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</row>
    <row r="97" spans="4:29" ht="15" customHeight="1"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</row>
    <row r="98" spans="4:29" ht="15" customHeight="1"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</row>
    <row r="99" spans="4:29" ht="15" customHeight="1"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</row>
    <row r="100" spans="4:29" ht="15" customHeight="1"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</row>
  </sheetData>
  <phoneticPr fontId="2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5"/>
  </sheetPr>
  <dimension ref="A1:AB67"/>
  <sheetViews>
    <sheetView showGridLines="0" zoomScale="55" zoomScaleNormal="55" workbookViewId="0"/>
  </sheetViews>
  <sheetFormatPr defaultRowHeight="15" customHeight="1"/>
  <cols>
    <col min="1" max="3" width="1.69921875" style="175" customWidth="1"/>
    <col min="4" max="4" width="28" style="176" customWidth="1"/>
    <col min="5" max="5" width="12" style="176" customWidth="1"/>
    <col min="6" max="7" width="16" style="176" customWidth="1"/>
    <col min="8" max="15" width="12" style="176" customWidth="1"/>
    <col min="16" max="28" width="8.796875" style="176"/>
  </cols>
  <sheetData>
    <row r="1" spans="1:28" s="197" customFormat="1" ht="15" customHeight="1">
      <c r="A1" s="194" t="s">
        <v>578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5"/>
      <c r="N1" s="195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</row>
    <row r="2" spans="1:28" ht="15" customHeight="1">
      <c r="A2" s="185"/>
      <c r="B2" s="185"/>
      <c r="C2" s="185"/>
      <c r="D2" s="186">
        <v>0</v>
      </c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66"/>
      <c r="Q2" s="66"/>
      <c r="R2" s="174">
        <f>Assumptions!$F$26</f>
        <v>46296</v>
      </c>
      <c r="S2" s="174">
        <f>'Operating CF'!F$4</f>
        <v>47665</v>
      </c>
      <c r="T2" s="174">
        <f>'Operating CF'!G$4</f>
        <v>48030</v>
      </c>
      <c r="U2" s="174">
        <f>'Operating CF'!H$4</f>
        <v>48396</v>
      </c>
      <c r="V2" s="174">
        <f>'Operating CF'!I$4</f>
        <v>48761</v>
      </c>
      <c r="W2" s="174">
        <f>'Operating CF'!J$4</f>
        <v>49126</v>
      </c>
      <c r="X2" s="174">
        <f>'Operating CF'!K$4</f>
        <v>49491</v>
      </c>
      <c r="Y2" s="174">
        <f>'Operating CF'!L$4</f>
        <v>49857</v>
      </c>
      <c r="Z2" s="174">
        <f>'Operating CF'!M$4</f>
        <v>50222</v>
      </c>
      <c r="AA2" s="174">
        <f>'Operating CF'!N$4</f>
        <v>50587</v>
      </c>
      <c r="AB2" s="174">
        <f>'Operating CF'!O$4</f>
        <v>50952</v>
      </c>
    </row>
    <row r="3" spans="1:28" ht="15" customHeight="1">
      <c r="A3" s="185"/>
      <c r="B3" s="185"/>
      <c r="C3" s="185"/>
      <c r="D3" s="187" t="s">
        <v>577</v>
      </c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66"/>
      <c r="Q3" s="66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</row>
    <row r="4" spans="1:28" ht="15" customHeight="1">
      <c r="A4" s="185"/>
      <c r="B4" s="185"/>
      <c r="C4" s="185"/>
      <c r="D4" s="66" t="s">
        <v>574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66"/>
      <c r="Q4" s="66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</row>
    <row r="5" spans="1:28" ht="15" customHeight="1">
      <c r="A5" s="185"/>
      <c r="B5" s="185"/>
      <c r="C5" s="185"/>
      <c r="D5" s="66" t="s">
        <v>575</v>
      </c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66"/>
      <c r="Q5" s="66"/>
      <c r="R5" s="174"/>
      <c r="S5" s="174"/>
      <c r="T5" s="174"/>
      <c r="U5" s="174"/>
      <c r="V5" s="174"/>
      <c r="W5" s="174"/>
      <c r="X5" s="174"/>
      <c r="Y5" s="174"/>
      <c r="Z5" s="174"/>
      <c r="AA5" s="174"/>
      <c r="AB5" s="174"/>
    </row>
    <row r="6" spans="1:28" ht="15" customHeight="1">
      <c r="A6" s="185"/>
      <c r="B6" s="185"/>
      <c r="C6" s="185"/>
      <c r="D6" s="66" t="s">
        <v>576</v>
      </c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66"/>
      <c r="Q6" s="66"/>
      <c r="R6" s="174"/>
      <c r="S6" s="174"/>
      <c r="T6" s="174"/>
      <c r="U6" s="174"/>
      <c r="V6" s="174"/>
      <c r="W6" s="174"/>
      <c r="X6" s="174"/>
      <c r="Y6" s="174"/>
      <c r="Z6" s="174"/>
      <c r="AA6" s="174"/>
      <c r="AB6" s="174"/>
    </row>
    <row r="7" spans="1:28" ht="15" customHeight="1">
      <c r="A7"/>
      <c r="B7"/>
      <c r="C7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74"/>
    </row>
    <row r="8" spans="1:28" ht="15" customHeight="1">
      <c r="A8"/>
      <c r="B8"/>
      <c r="C8"/>
      <c r="D8" s="158" t="s">
        <v>547</v>
      </c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66"/>
      <c r="Q8" s="66"/>
      <c r="R8" s="174">
        <f>-Assumptions!$F$10</f>
        <v>-450</v>
      </c>
      <c r="S8" s="174">
        <f>'Operating CF'!F$15</f>
        <v>48.808317142857149</v>
      </c>
      <c r="T8" s="174">
        <f>'Operating CF'!G$15</f>
        <v>51.160341657142865</v>
      </c>
      <c r="U8" s="174">
        <f>'Operating CF'!H$15</f>
        <v>53.582926906857153</v>
      </c>
      <c r="V8" s="174">
        <f>'Operating CF'!I$15</f>
        <v>56.078189714062873</v>
      </c>
      <c r="W8" s="174">
        <f>'Operating CF'!J$15</f>
        <v>58.648310405484764</v>
      </c>
      <c r="X8" s="174">
        <f>'Operating CF'!K$15</f>
        <v>61.295534717649304</v>
      </c>
      <c r="Y8" s="174">
        <f>'Operating CF'!L$15</f>
        <v>64.022175759178779</v>
      </c>
      <c r="Z8" s="174">
        <f>'Operating CF'!M$15</f>
        <v>66.83061603195415</v>
      </c>
      <c r="AA8" s="174">
        <f>'Operating CF'!N$15</f>
        <v>69.723309512912778</v>
      </c>
      <c r="AB8" s="174">
        <f>'Operating CF'!O$15+(('Operating CF'!O$18*D35/E$34)*(1-Assumptions!$F$24)-Assumptions!$F$20)</f>
        <v>2318.2415582492836</v>
      </c>
    </row>
    <row r="9" spans="1:28" ht="15" customHeight="1">
      <c r="R9" s="174">
        <f>-Assumptions!$F$10</f>
        <v>-450</v>
      </c>
      <c r="S9" s="174">
        <f>'Operating CF'!F$15</f>
        <v>48.808317142857149</v>
      </c>
      <c r="T9" s="174">
        <f>'Operating CF'!G$15</f>
        <v>51.160341657142865</v>
      </c>
      <c r="U9" s="174">
        <f>'Operating CF'!H$15</f>
        <v>53.582926906857153</v>
      </c>
      <c r="V9" s="174">
        <f>'Operating CF'!I$15</f>
        <v>56.078189714062873</v>
      </c>
      <c r="W9" s="174">
        <f>'Operating CF'!J$15</f>
        <v>58.648310405484764</v>
      </c>
      <c r="X9" s="174">
        <f>'Operating CF'!K$15</f>
        <v>61.295534717649304</v>
      </c>
      <c r="Y9" s="174">
        <f>'Operating CF'!L$15</f>
        <v>64.022175759178779</v>
      </c>
      <c r="Z9" s="174">
        <f>'Operating CF'!M$15</f>
        <v>66.83061603195415</v>
      </c>
      <c r="AA9" s="174">
        <f>'Operating CF'!N$15</f>
        <v>69.723309512912778</v>
      </c>
      <c r="AB9" s="174">
        <f>'Operating CF'!O$15+(('Operating CF'!O$18*D35/F$34)*(1-Assumptions!$F$24)-Assumptions!$F$20)</f>
        <v>1999.51502775473</v>
      </c>
    </row>
    <row r="10" spans="1:28" ht="15" customHeight="1">
      <c r="C10" s="175" t="s">
        <v>0</v>
      </c>
      <c r="D10" s="165" t="s">
        <v>484</v>
      </c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R10" s="177">
        <f>-Assumptions!$F$10</f>
        <v>-450</v>
      </c>
      <c r="S10" s="177">
        <f>'Operating CF'!F$15</f>
        <v>48.808317142857149</v>
      </c>
      <c r="T10" s="177">
        <f>'Operating CF'!G$15</f>
        <v>51.160341657142865</v>
      </c>
      <c r="U10" s="177">
        <f>'Operating CF'!H$15</f>
        <v>53.582926906857153</v>
      </c>
      <c r="V10" s="177">
        <f>'Operating CF'!I$15</f>
        <v>56.078189714062873</v>
      </c>
      <c r="W10" s="177">
        <f>'Operating CF'!J$15</f>
        <v>58.648310405484764</v>
      </c>
      <c r="X10" s="177">
        <f>'Operating CF'!K$15</f>
        <v>61.295534717649304</v>
      </c>
      <c r="Y10" s="177">
        <f>'Operating CF'!L$15</f>
        <v>64.022175759178779</v>
      </c>
      <c r="Z10" s="177">
        <f>'Operating CF'!M$15</f>
        <v>66.83061603195415</v>
      </c>
      <c r="AA10" s="177">
        <f>'Operating CF'!N$15</f>
        <v>69.723309512912778</v>
      </c>
      <c r="AB10" s="177">
        <f>'Operating CF'!O$15+(('Operating CF'!O$18*D35/G$34)*(1-Assumptions!$F$24)-Assumptions!$F$20)</f>
        <v>1744.533803359087</v>
      </c>
    </row>
    <row r="11" spans="1:28" ht="15" customHeight="1">
      <c r="D11" s="176" t="s">
        <v>485</v>
      </c>
      <c r="E11" s="178">
        <f>'Operating CF'!E35</f>
        <v>0.15724347233772279</v>
      </c>
      <c r="F11" s="176" t="s">
        <v>486</v>
      </c>
      <c r="G11" s="179">
        <f>'Operating CF'!O20</f>
        <v>2341.4253847166483</v>
      </c>
      <c r="H11" s="176" t="s">
        <v>487</v>
      </c>
      <c r="I11" s="178">
        <f>Assumptions!F23</f>
        <v>4.4999999999999998E-2</v>
      </c>
      <c r="J11" s="176" t="s">
        <v>115</v>
      </c>
      <c r="K11" s="180">
        <f>Assumptions!F25</f>
        <v>10</v>
      </c>
      <c r="L11" s="176" t="s">
        <v>488</v>
      </c>
      <c r="M11" s="193" t="s">
        <v>489</v>
      </c>
      <c r="R11" s="177">
        <f>-Assumptions!$F$10</f>
        <v>-450</v>
      </c>
      <c r="S11" s="177">
        <f>'Operating CF'!F$15</f>
        <v>48.808317142857149</v>
      </c>
      <c r="T11" s="177">
        <f>'Operating CF'!G$15</f>
        <v>51.160341657142865</v>
      </c>
      <c r="U11" s="177">
        <f>'Operating CF'!H$15</f>
        <v>53.582926906857153</v>
      </c>
      <c r="V11" s="177">
        <f>'Operating CF'!I$15</f>
        <v>56.078189714062873</v>
      </c>
      <c r="W11" s="177">
        <f>'Operating CF'!J$15</f>
        <v>58.648310405484764</v>
      </c>
      <c r="X11" s="177">
        <f>'Operating CF'!K$15</f>
        <v>61.295534717649304</v>
      </c>
      <c r="Y11" s="177">
        <f>'Operating CF'!L$15</f>
        <v>64.022175759178779</v>
      </c>
      <c r="Z11" s="177">
        <f>'Operating CF'!M$15</f>
        <v>66.83061603195415</v>
      </c>
      <c r="AA11" s="177">
        <f>'Operating CF'!N$15</f>
        <v>69.723309512912778</v>
      </c>
      <c r="AB11" s="177">
        <f>'Operating CF'!O$15+(('Operating CF'!O$18*D35/H$34)*(1-Assumptions!$F$24)-Assumptions!$F$20)</f>
        <v>1535.9128015808337</v>
      </c>
    </row>
    <row r="12" spans="1:28" ht="15" customHeight="1">
      <c r="D12" s="176" t="s">
        <v>4</v>
      </c>
      <c r="E12" s="179">
        <f>Assumptions!F18</f>
        <v>78.40081714285715</v>
      </c>
      <c r="F12" s="181" t="s">
        <v>490</v>
      </c>
      <c r="G12" s="179">
        <f>Assumptions!F20</f>
        <v>623</v>
      </c>
      <c r="H12" s="176" t="s">
        <v>491</v>
      </c>
      <c r="I12" s="182">
        <f>Assumptions!F18/(Assumptions!F20*Assumptions!F21)</f>
        <v>2.6493475422102608</v>
      </c>
      <c r="J12" s="183" t="s">
        <v>492</v>
      </c>
      <c r="K12" s="178">
        <f>Assumptions!F20/(Assumptions!F18/Assumptions!F23)</f>
        <v>0.35758555869279202</v>
      </c>
      <c r="L12" s="183" t="s">
        <v>493</v>
      </c>
      <c r="M12" s="178">
        <f>'Operating CF'!O23/SUM('Operating CF'!F25:O25)</f>
        <v>0.73764652694514521</v>
      </c>
      <c r="R12" s="177">
        <f>-Assumptions!$F$10</f>
        <v>-450</v>
      </c>
      <c r="S12" s="177">
        <f>'Operating CF'!F$15</f>
        <v>48.808317142857149</v>
      </c>
      <c r="T12" s="177">
        <f>'Operating CF'!G$15</f>
        <v>51.160341657142865</v>
      </c>
      <c r="U12" s="177">
        <f>'Operating CF'!H$15</f>
        <v>53.582926906857153</v>
      </c>
      <c r="V12" s="177">
        <f>'Operating CF'!I$15</f>
        <v>56.078189714062873</v>
      </c>
      <c r="W12" s="177">
        <f>'Operating CF'!J$15</f>
        <v>58.648310405484764</v>
      </c>
      <c r="X12" s="177">
        <f>'Operating CF'!K$15</f>
        <v>61.295534717649304</v>
      </c>
      <c r="Y12" s="177">
        <f>'Operating CF'!L$15</f>
        <v>64.022175759178779</v>
      </c>
      <c r="Z12" s="177">
        <f>'Operating CF'!M$15</f>
        <v>66.83061603195415</v>
      </c>
      <c r="AA12" s="177">
        <f>'Operating CF'!N$15</f>
        <v>69.723309512912778</v>
      </c>
      <c r="AB12" s="177">
        <f>'Operating CF'!O$15+(('Operating CF'!O$18*D35/I$34)*(1-Assumptions!$F$24)-Assumptions!$F$20)</f>
        <v>1362.0619667656226</v>
      </c>
    </row>
    <row r="13" spans="1:28" ht="15" customHeight="1">
      <c r="D13" s="176" t="s">
        <v>494</v>
      </c>
      <c r="R13" s="177">
        <f>-Assumptions!$F$10</f>
        <v>-450</v>
      </c>
      <c r="S13" s="177">
        <f>'Operating CF'!F$15</f>
        <v>48.808317142857149</v>
      </c>
      <c r="T13" s="177">
        <f>'Operating CF'!G$15</f>
        <v>51.160341657142865</v>
      </c>
      <c r="U13" s="177">
        <f>'Operating CF'!H$15</f>
        <v>53.582926906857153</v>
      </c>
      <c r="V13" s="177">
        <f>'Operating CF'!I$15</f>
        <v>56.078189714062873</v>
      </c>
      <c r="W13" s="177">
        <f>'Operating CF'!J$15</f>
        <v>58.648310405484764</v>
      </c>
      <c r="X13" s="177">
        <f>'Operating CF'!K$15</f>
        <v>61.295534717649304</v>
      </c>
      <c r="Y13" s="177">
        <f>'Operating CF'!L$15</f>
        <v>64.022175759178779</v>
      </c>
      <c r="Z13" s="177">
        <f>'Operating CF'!M$15</f>
        <v>66.83061603195415</v>
      </c>
      <c r="AA13" s="177">
        <f>'Operating CF'!N$15</f>
        <v>69.723309512912778</v>
      </c>
      <c r="AB13" s="177">
        <f>'Operating CF'!O$15+(('Operating CF'!O$18*D36/E$34)*(1-Assumptions!$F$24)-Assumptions!$F$20)</f>
        <v>2057.4653060264668</v>
      </c>
    </row>
    <row r="14" spans="1:28" ht="15" customHeight="1">
      <c r="R14" s="177">
        <f>-Assumptions!$F$10</f>
        <v>-450</v>
      </c>
      <c r="S14" s="177">
        <f>'Operating CF'!F$15</f>
        <v>48.808317142857149</v>
      </c>
      <c r="T14" s="177">
        <f>'Operating CF'!G$15</f>
        <v>51.160341657142865</v>
      </c>
      <c r="U14" s="177">
        <f>'Operating CF'!H$15</f>
        <v>53.582926906857153</v>
      </c>
      <c r="V14" s="177">
        <f>'Operating CF'!I$15</f>
        <v>56.078189714062873</v>
      </c>
      <c r="W14" s="177">
        <f>'Operating CF'!J$15</f>
        <v>58.648310405484764</v>
      </c>
      <c r="X14" s="177">
        <f>'Operating CF'!K$15</f>
        <v>61.295534717649304</v>
      </c>
      <c r="Y14" s="177">
        <f>'Operating CF'!L$15</f>
        <v>64.022175759178779</v>
      </c>
      <c r="Z14" s="177">
        <f>'Operating CF'!M$15</f>
        <v>66.83061603195415</v>
      </c>
      <c r="AA14" s="177">
        <f>'Operating CF'!N$15</f>
        <v>69.723309512912778</v>
      </c>
      <c r="AB14" s="177">
        <f>'Operating CF'!O$15+(('Operating CF'!O$18*D36/F$34)*(1-Assumptions!$F$24)-Assumptions!$F$20)</f>
        <v>1767.7139146677819</v>
      </c>
    </row>
    <row r="15" spans="1:28" ht="15" customHeight="1">
      <c r="C15" s="175" t="s">
        <v>0</v>
      </c>
      <c r="D15" s="165" t="s">
        <v>495</v>
      </c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R15" s="177">
        <f>-Assumptions!$F$10</f>
        <v>-450</v>
      </c>
      <c r="S15" s="177">
        <f>'Operating CF'!F$15</f>
        <v>48.808317142857149</v>
      </c>
      <c r="T15" s="177">
        <f>'Operating CF'!G$15</f>
        <v>51.160341657142865</v>
      </c>
      <c r="U15" s="177">
        <f>'Operating CF'!H$15</f>
        <v>53.582926906857153</v>
      </c>
      <c r="V15" s="177">
        <f>'Operating CF'!I$15</f>
        <v>56.078189714062873</v>
      </c>
      <c r="W15" s="177">
        <f>'Operating CF'!J$15</f>
        <v>58.648310405484764</v>
      </c>
      <c r="X15" s="177">
        <f>'Operating CF'!K$15</f>
        <v>61.295534717649304</v>
      </c>
      <c r="Y15" s="177">
        <f>'Operating CF'!L$15</f>
        <v>64.022175759178779</v>
      </c>
      <c r="Z15" s="177">
        <f>'Operating CF'!M$15</f>
        <v>66.83061603195415</v>
      </c>
      <c r="AA15" s="177">
        <f>'Operating CF'!N$15</f>
        <v>69.723309512912778</v>
      </c>
      <c r="AB15" s="177">
        <f>'Operating CF'!O$15+(('Operating CF'!O$18*D36/G$34)*(1-Assumptions!$F$24)-Assumptions!$F$20)</f>
        <v>1535.9128015808337</v>
      </c>
    </row>
    <row r="16" spans="1:28" ht="15" customHeight="1">
      <c r="D16" s="166" t="s">
        <v>48</v>
      </c>
      <c r="E16" s="167" t="s">
        <v>62</v>
      </c>
      <c r="F16" s="168" t="s">
        <v>226</v>
      </c>
      <c r="G16" s="168" t="s">
        <v>496</v>
      </c>
      <c r="H16" s="168" t="s">
        <v>497</v>
      </c>
      <c r="I16" s="158" t="s">
        <v>498</v>
      </c>
      <c r="J16" s="158"/>
      <c r="K16" s="158"/>
      <c r="L16" s="158"/>
      <c r="M16" s="158"/>
      <c r="N16" s="158"/>
      <c r="O16" s="158"/>
      <c r="R16" s="177">
        <f>-Assumptions!$F$10</f>
        <v>-450</v>
      </c>
      <c r="S16" s="177">
        <f>'Operating CF'!F$15</f>
        <v>48.808317142857149</v>
      </c>
      <c r="T16" s="177">
        <f>'Operating CF'!G$15</f>
        <v>51.160341657142865</v>
      </c>
      <c r="U16" s="177">
        <f>'Operating CF'!H$15</f>
        <v>53.582926906857153</v>
      </c>
      <c r="V16" s="177">
        <f>'Operating CF'!I$15</f>
        <v>56.078189714062873</v>
      </c>
      <c r="W16" s="177">
        <f>'Operating CF'!J$15</f>
        <v>58.648310405484764</v>
      </c>
      <c r="X16" s="177">
        <f>'Operating CF'!K$15</f>
        <v>61.295534717649304</v>
      </c>
      <c r="Y16" s="177">
        <f>'Operating CF'!L$15</f>
        <v>64.022175759178779</v>
      </c>
      <c r="Z16" s="177">
        <f>'Operating CF'!M$15</f>
        <v>66.83061603195415</v>
      </c>
      <c r="AA16" s="177">
        <f>'Operating CF'!N$15</f>
        <v>69.723309512912778</v>
      </c>
      <c r="AB16" s="177">
        <f>'Operating CF'!O$15+(('Operating CF'!O$18*D36/H$34)*(1-Assumptions!$F$24)-Assumptions!$F$20)</f>
        <v>1346.2573454187852</v>
      </c>
    </row>
    <row r="17" spans="4:28" ht="15" customHeight="1">
      <c r="D17" s="159" t="s">
        <v>18</v>
      </c>
      <c r="E17" s="176" t="s">
        <v>89</v>
      </c>
      <c r="F17" s="155">
        <v>4.4999999999999998E-2</v>
      </c>
      <c r="G17" s="155">
        <v>0.05</v>
      </c>
      <c r="H17" s="155">
        <v>5.5E-2</v>
      </c>
      <c r="I17" s="176" t="s">
        <v>548</v>
      </c>
      <c r="R17" s="177">
        <f>-Assumptions!$F$10</f>
        <v>-450</v>
      </c>
      <c r="S17" s="177">
        <f>'Operating CF'!F$15</f>
        <v>48.808317142857149</v>
      </c>
      <c r="T17" s="177">
        <f>'Operating CF'!G$15</f>
        <v>51.160341657142865</v>
      </c>
      <c r="U17" s="177">
        <f>'Operating CF'!H$15</f>
        <v>53.582926906857153</v>
      </c>
      <c r="V17" s="177">
        <f>'Operating CF'!I$15</f>
        <v>56.078189714062873</v>
      </c>
      <c r="W17" s="177">
        <f>'Operating CF'!J$15</f>
        <v>58.648310405484764</v>
      </c>
      <c r="X17" s="177">
        <f>'Operating CF'!K$15</f>
        <v>61.295534717649304</v>
      </c>
      <c r="Y17" s="177">
        <f>'Operating CF'!L$15</f>
        <v>64.022175759178779</v>
      </c>
      <c r="Z17" s="177">
        <f>'Operating CF'!M$15</f>
        <v>66.83061603195415</v>
      </c>
      <c r="AA17" s="177">
        <f>'Operating CF'!N$15</f>
        <v>69.723309512912778</v>
      </c>
      <c r="AB17" s="177">
        <f>'Operating CF'!O$15+(('Operating CF'!O$18*D36/I$34)*(1-Assumptions!$F$24)-Assumptions!$F$20)</f>
        <v>1188.2111319504113</v>
      </c>
    </row>
    <row r="18" spans="4:28" ht="15" customHeight="1">
      <c r="D18" s="159" t="s">
        <v>499</v>
      </c>
      <c r="E18" s="176" t="s">
        <v>89</v>
      </c>
      <c r="F18" s="155">
        <v>1</v>
      </c>
      <c r="G18" s="155">
        <v>0.9</v>
      </c>
      <c r="H18" s="155">
        <v>0.8</v>
      </c>
      <c r="I18" s="176" t="s">
        <v>549</v>
      </c>
      <c r="R18" s="177">
        <f>-Assumptions!$F$10</f>
        <v>-450</v>
      </c>
      <c r="S18" s="177">
        <f>'Operating CF'!F$15</f>
        <v>48.808317142857149</v>
      </c>
      <c r="T18" s="177">
        <f>'Operating CF'!G$15</f>
        <v>51.160341657142865</v>
      </c>
      <c r="U18" s="177">
        <f>'Operating CF'!H$15</f>
        <v>53.582926906857153</v>
      </c>
      <c r="V18" s="177">
        <f>'Operating CF'!I$15</f>
        <v>56.078189714062873</v>
      </c>
      <c r="W18" s="177">
        <f>'Operating CF'!J$15</f>
        <v>58.648310405484764</v>
      </c>
      <c r="X18" s="177">
        <f>'Operating CF'!K$15</f>
        <v>61.295534717649304</v>
      </c>
      <c r="Y18" s="177">
        <f>'Operating CF'!L$15</f>
        <v>64.022175759178779</v>
      </c>
      <c r="Z18" s="177">
        <f>'Operating CF'!M$15</f>
        <v>66.83061603195415</v>
      </c>
      <c r="AA18" s="177">
        <f>'Operating CF'!N$15</f>
        <v>69.723309512912778</v>
      </c>
      <c r="AB18" s="177">
        <f>'Operating CF'!O$15+(('Operating CF'!O$18*D37/E$34)*(1-Assumptions!$F$24)-Assumptions!$F$20)</f>
        <v>1796.6890538036505</v>
      </c>
    </row>
    <row r="19" spans="4:28" ht="15" customHeight="1">
      <c r="D19" s="159" t="s">
        <v>112</v>
      </c>
      <c r="E19" s="176" t="s">
        <v>89</v>
      </c>
      <c r="F19" s="155">
        <v>0.01</v>
      </c>
      <c r="G19" s="155">
        <v>1.4999999999999999E-2</v>
      </c>
      <c r="H19" s="155">
        <v>0.02</v>
      </c>
      <c r="I19" s="176" t="s">
        <v>550</v>
      </c>
      <c r="R19" s="177">
        <f>-Assumptions!$F$10</f>
        <v>-450</v>
      </c>
      <c r="S19" s="177">
        <f>'Operating CF'!F$15</f>
        <v>48.808317142857149</v>
      </c>
      <c r="T19" s="177">
        <f>'Operating CF'!G$15</f>
        <v>51.160341657142865</v>
      </c>
      <c r="U19" s="177">
        <f>'Operating CF'!H$15</f>
        <v>53.582926906857153</v>
      </c>
      <c r="V19" s="177">
        <f>'Operating CF'!I$15</f>
        <v>56.078189714062873</v>
      </c>
      <c r="W19" s="177">
        <f>'Operating CF'!J$15</f>
        <v>58.648310405484764</v>
      </c>
      <c r="X19" s="177">
        <f>'Operating CF'!K$15</f>
        <v>61.295534717649304</v>
      </c>
      <c r="Y19" s="177">
        <f>'Operating CF'!L$15</f>
        <v>64.022175759178779</v>
      </c>
      <c r="Z19" s="177">
        <f>'Operating CF'!M$15</f>
        <v>66.83061603195415</v>
      </c>
      <c r="AA19" s="177">
        <f>'Operating CF'!N$15</f>
        <v>69.723309512912778</v>
      </c>
      <c r="AB19" s="177">
        <f>'Operating CF'!O$15+(('Operating CF'!O$18*D37/F$34)*(1-Assumptions!$F$24)-Assumptions!$F$20)</f>
        <v>1535.9128015808342</v>
      </c>
    </row>
    <row r="20" spans="4:28" ht="15" customHeight="1">
      <c r="D20" s="159" t="s">
        <v>104</v>
      </c>
      <c r="E20" s="176" t="s">
        <v>89</v>
      </c>
      <c r="F20" s="155">
        <v>4.7500000000000001E-2</v>
      </c>
      <c r="G20" s="155">
        <v>5.2499999999999998E-2</v>
      </c>
      <c r="H20" s="155">
        <v>5.7500000000000002E-2</v>
      </c>
      <c r="I20" s="176" t="s">
        <v>551</v>
      </c>
      <c r="R20" s="177">
        <f>-Assumptions!$F$10</f>
        <v>-450</v>
      </c>
      <c r="S20" s="177">
        <f>'Operating CF'!F$15</f>
        <v>48.808317142857149</v>
      </c>
      <c r="T20" s="177">
        <f>'Operating CF'!G$15</f>
        <v>51.160341657142865</v>
      </c>
      <c r="U20" s="177">
        <f>'Operating CF'!H$15</f>
        <v>53.582926906857153</v>
      </c>
      <c r="V20" s="177">
        <f>'Operating CF'!I$15</f>
        <v>56.078189714062873</v>
      </c>
      <c r="W20" s="177">
        <f>'Operating CF'!J$15</f>
        <v>58.648310405484764</v>
      </c>
      <c r="X20" s="177">
        <f>'Operating CF'!K$15</f>
        <v>61.295534717649304</v>
      </c>
      <c r="Y20" s="177">
        <f>'Operating CF'!L$15</f>
        <v>64.022175759178779</v>
      </c>
      <c r="Z20" s="177">
        <f>'Operating CF'!M$15</f>
        <v>66.83061603195415</v>
      </c>
      <c r="AA20" s="177">
        <f>'Operating CF'!N$15</f>
        <v>69.723309512912778</v>
      </c>
      <c r="AB20" s="177">
        <f>'Operating CF'!O$15+(('Operating CF'!O$18*D37/G$34)*(1-Assumptions!$F$24)-Assumptions!$F$20)</f>
        <v>1327.2917998025803</v>
      </c>
    </row>
    <row r="21" spans="4:28" ht="15" customHeight="1">
      <c r="D21" s="159" t="s">
        <v>500</v>
      </c>
      <c r="E21" s="176" t="s">
        <v>89</v>
      </c>
      <c r="F21" s="155">
        <v>0</v>
      </c>
      <c r="G21" s="155">
        <v>0.05</v>
      </c>
      <c r="H21" s="155">
        <v>0.1</v>
      </c>
      <c r="I21" s="176" t="s">
        <v>552</v>
      </c>
      <c r="R21" s="177">
        <f>-Assumptions!$F$10</f>
        <v>-450</v>
      </c>
      <c r="S21" s="177">
        <f>'Operating CF'!F$15</f>
        <v>48.808317142857149</v>
      </c>
      <c r="T21" s="177">
        <f>'Operating CF'!G$15</f>
        <v>51.160341657142865</v>
      </c>
      <c r="U21" s="177">
        <f>'Operating CF'!H$15</f>
        <v>53.582926906857153</v>
      </c>
      <c r="V21" s="177">
        <f>'Operating CF'!I$15</f>
        <v>56.078189714062873</v>
      </c>
      <c r="W21" s="177">
        <f>'Operating CF'!J$15</f>
        <v>58.648310405484764</v>
      </c>
      <c r="X21" s="177">
        <f>'Operating CF'!K$15</f>
        <v>61.295534717649304</v>
      </c>
      <c r="Y21" s="177">
        <f>'Operating CF'!L$15</f>
        <v>64.022175759178779</v>
      </c>
      <c r="Z21" s="177">
        <f>'Operating CF'!M$15</f>
        <v>66.83061603195415</v>
      </c>
      <c r="AA21" s="177">
        <f>'Operating CF'!N$15</f>
        <v>69.723309512912778</v>
      </c>
      <c r="AB21" s="177">
        <f>'Operating CF'!O$15+(('Operating CF'!O$18*D37/H$34)*(1-Assumptions!$F$24)-Assumptions!$F$20)</f>
        <v>1156.6018892567367</v>
      </c>
    </row>
    <row r="22" spans="4:28" ht="15" customHeight="1">
      <c r="D22" s="159" t="s">
        <v>501</v>
      </c>
      <c r="E22" s="176" t="s">
        <v>502</v>
      </c>
      <c r="F22" s="156">
        <v>0</v>
      </c>
      <c r="G22" s="156">
        <v>6</v>
      </c>
      <c r="H22" s="156">
        <v>12</v>
      </c>
      <c r="I22" s="176" t="s">
        <v>553</v>
      </c>
      <c r="R22" s="177">
        <f>-Assumptions!$F$10</f>
        <v>-450</v>
      </c>
      <c r="S22" s="177">
        <f>'Operating CF'!F$15</f>
        <v>48.808317142857149</v>
      </c>
      <c r="T22" s="177">
        <f>'Operating CF'!G$15</f>
        <v>51.160341657142865</v>
      </c>
      <c r="U22" s="177">
        <f>'Operating CF'!H$15</f>
        <v>53.582926906857153</v>
      </c>
      <c r="V22" s="177">
        <f>'Operating CF'!I$15</f>
        <v>56.078189714062873</v>
      </c>
      <c r="W22" s="177">
        <f>'Operating CF'!J$15</f>
        <v>58.648310405484764</v>
      </c>
      <c r="X22" s="177">
        <f>'Operating CF'!K$15</f>
        <v>61.295534717649304</v>
      </c>
      <c r="Y22" s="177">
        <f>'Operating CF'!L$15</f>
        <v>64.022175759178779</v>
      </c>
      <c r="Z22" s="177">
        <f>'Operating CF'!M$15</f>
        <v>66.83061603195415</v>
      </c>
      <c r="AA22" s="177">
        <f>'Operating CF'!N$15</f>
        <v>69.723309512912778</v>
      </c>
      <c r="AB22" s="177">
        <f>'Operating CF'!O$15+(('Operating CF'!O$18*D37/I$34)*(1-Assumptions!$F$24)-Assumptions!$F$20)</f>
        <v>1014.3602971352005</v>
      </c>
    </row>
    <row r="23" spans="4:28" ht="15" customHeight="1">
      <c r="D23" s="159" t="s">
        <v>503</v>
      </c>
      <c r="E23" s="176" t="s">
        <v>66</v>
      </c>
      <c r="F23" s="160">
        <f>Assumptions!$F$20*Assumptions!$F$13*F22/12</f>
        <v>0</v>
      </c>
      <c r="G23" s="160">
        <f>Assumptions!$F$20*Assumptions!$F$13*G22/12</f>
        <v>17.911249999999999</v>
      </c>
      <c r="H23" s="160">
        <f>Assumptions!$F$20*Assumptions!$F$13*H22/12</f>
        <v>35.822499999999998</v>
      </c>
      <c r="I23" s="176" t="s">
        <v>554</v>
      </c>
      <c r="R23" s="177">
        <f>-Assumptions!$F$10</f>
        <v>-450</v>
      </c>
      <c r="S23" s="177">
        <f>'Operating CF'!F$15</f>
        <v>48.808317142857149</v>
      </c>
      <c r="T23" s="177">
        <f>'Operating CF'!G$15</f>
        <v>51.160341657142865</v>
      </c>
      <c r="U23" s="177">
        <f>'Operating CF'!H$15</f>
        <v>53.582926906857153</v>
      </c>
      <c r="V23" s="177">
        <f>'Operating CF'!I$15</f>
        <v>56.078189714062873</v>
      </c>
      <c r="W23" s="177">
        <f>'Operating CF'!J$15</f>
        <v>58.648310405484764</v>
      </c>
      <c r="X23" s="177">
        <f>'Operating CF'!K$15</f>
        <v>61.295534717649304</v>
      </c>
      <c r="Y23" s="177">
        <f>'Operating CF'!L$15</f>
        <v>64.022175759178779</v>
      </c>
      <c r="Z23" s="177">
        <f>'Operating CF'!M$15</f>
        <v>66.83061603195415</v>
      </c>
      <c r="AA23" s="177">
        <f>'Operating CF'!N$15</f>
        <v>69.723309512912778</v>
      </c>
      <c r="AB23" s="177">
        <f>'Operating CF'!O$15+(('Operating CF'!O$18*D38/E$34)*(1-Assumptions!$F$24)-Assumptions!$F$20)</f>
        <v>1535.9128015808337</v>
      </c>
    </row>
    <row r="24" spans="4:28" ht="15" customHeight="1">
      <c r="D24" s="159" t="s">
        <v>504</v>
      </c>
      <c r="E24" s="176" t="s">
        <v>66</v>
      </c>
      <c r="F24" s="160">
        <f>Assumptions!$F$10+Assumptions!$F$5*F21+F23</f>
        <v>450</v>
      </c>
      <c r="G24" s="160">
        <f>Assumptions!$F$10+Assumptions!$F$5*G21+G23</f>
        <v>521.56124999999997</v>
      </c>
      <c r="H24" s="160">
        <f>Assumptions!$F$10+Assumptions!$F$5*H21+H23</f>
        <v>593.12249999999995</v>
      </c>
      <c r="I24" s="176" t="s">
        <v>555</v>
      </c>
      <c r="R24" s="177">
        <f>-Assumptions!$F$10</f>
        <v>-450</v>
      </c>
      <c r="S24" s="177">
        <f>'Operating CF'!F$15</f>
        <v>48.808317142857149</v>
      </c>
      <c r="T24" s="177">
        <f>'Operating CF'!G$15</f>
        <v>51.160341657142865</v>
      </c>
      <c r="U24" s="177">
        <f>'Operating CF'!H$15</f>
        <v>53.582926906857153</v>
      </c>
      <c r="V24" s="177">
        <f>'Operating CF'!I$15</f>
        <v>56.078189714062873</v>
      </c>
      <c r="W24" s="177">
        <f>'Operating CF'!J$15</f>
        <v>58.648310405484764</v>
      </c>
      <c r="X24" s="177">
        <f>'Operating CF'!K$15</f>
        <v>61.295534717649304</v>
      </c>
      <c r="Y24" s="177">
        <f>'Operating CF'!L$15</f>
        <v>64.022175759178779</v>
      </c>
      <c r="Z24" s="177">
        <f>'Operating CF'!M$15</f>
        <v>66.83061603195415</v>
      </c>
      <c r="AA24" s="177">
        <f>'Operating CF'!N$15</f>
        <v>69.723309512912778</v>
      </c>
      <c r="AB24" s="177">
        <f>'Operating CF'!O$15+(('Operating CF'!O$18*D38/F$34)*(1-Assumptions!$F$24)-Assumptions!$F$20)</f>
        <v>1304.1116884938856</v>
      </c>
    </row>
    <row r="25" spans="4:28" ht="15" customHeight="1">
      <c r="D25" s="159" t="s">
        <v>505</v>
      </c>
      <c r="E25" s="176" t="s">
        <v>66</v>
      </c>
      <c r="F25" s="160">
        <f>'Operating CF'!$O$18*F18</f>
        <v>105.36414231224917</v>
      </c>
      <c r="G25" s="160">
        <f>'Operating CF'!$O$18*G18</f>
        <v>94.827728081024262</v>
      </c>
      <c r="H25" s="160">
        <f>'Operating CF'!$O$18*H18</f>
        <v>84.291313849799337</v>
      </c>
      <c r="I25" s="176" t="s">
        <v>556</v>
      </c>
      <c r="R25" s="177">
        <f>-Assumptions!$F$10</f>
        <v>-450</v>
      </c>
      <c r="S25" s="177">
        <f>'Operating CF'!F$15</f>
        <v>48.808317142857149</v>
      </c>
      <c r="T25" s="177">
        <f>'Operating CF'!G$15</f>
        <v>51.160341657142865</v>
      </c>
      <c r="U25" s="177">
        <f>'Operating CF'!H$15</f>
        <v>53.582926906857153</v>
      </c>
      <c r="V25" s="177">
        <f>'Operating CF'!I$15</f>
        <v>56.078189714062873</v>
      </c>
      <c r="W25" s="177">
        <f>'Operating CF'!J$15</f>
        <v>58.648310405484764</v>
      </c>
      <c r="X25" s="177">
        <f>'Operating CF'!K$15</f>
        <v>61.295534717649304</v>
      </c>
      <c r="Y25" s="177">
        <f>'Operating CF'!L$15</f>
        <v>64.022175759178779</v>
      </c>
      <c r="Z25" s="177">
        <f>'Operating CF'!M$15</f>
        <v>66.83061603195415</v>
      </c>
      <c r="AA25" s="177">
        <f>'Operating CF'!N$15</f>
        <v>69.723309512912778</v>
      </c>
      <c r="AB25" s="177">
        <f>'Operating CF'!O$15+(('Operating CF'!O$18*D38/G$34)*(1-Assumptions!$F$24)-Assumptions!$F$20)</f>
        <v>1118.6707980243268</v>
      </c>
    </row>
    <row r="26" spans="4:28" ht="15" customHeight="1">
      <c r="D26" s="159" t="s">
        <v>5</v>
      </c>
      <c r="E26" s="176" t="s">
        <v>66</v>
      </c>
      <c r="F26" s="160">
        <f>F25/F17</f>
        <v>2341.4253847166483</v>
      </c>
      <c r="G26" s="160">
        <f>G25/G17</f>
        <v>1896.5545616204852</v>
      </c>
      <c r="H26" s="160">
        <f>H25/H17</f>
        <v>1532.5693427236242</v>
      </c>
      <c r="I26" s="176" t="s">
        <v>557</v>
      </c>
      <c r="R26" s="177">
        <f>-Assumptions!$F$10</f>
        <v>-450</v>
      </c>
      <c r="S26" s="177">
        <f>'Operating CF'!F$15</f>
        <v>48.808317142857149</v>
      </c>
      <c r="T26" s="177">
        <f>'Operating CF'!G$15</f>
        <v>51.160341657142865</v>
      </c>
      <c r="U26" s="177">
        <f>'Operating CF'!H$15</f>
        <v>53.582926906857153</v>
      </c>
      <c r="V26" s="177">
        <f>'Operating CF'!I$15</f>
        <v>56.078189714062873</v>
      </c>
      <c r="W26" s="177">
        <f>'Operating CF'!J$15</f>
        <v>58.648310405484764</v>
      </c>
      <c r="X26" s="177">
        <f>'Operating CF'!K$15</f>
        <v>61.295534717649304</v>
      </c>
      <c r="Y26" s="177">
        <f>'Operating CF'!L$15</f>
        <v>64.022175759178779</v>
      </c>
      <c r="Z26" s="177">
        <f>'Operating CF'!M$15</f>
        <v>66.83061603195415</v>
      </c>
      <c r="AA26" s="177">
        <f>'Operating CF'!N$15</f>
        <v>69.723309512912778</v>
      </c>
      <c r="AB26" s="177">
        <f>'Operating CF'!O$15+(('Operating CF'!O$18*D38/H$34)*(1-Assumptions!$F$24)-Assumptions!$F$20)</f>
        <v>966.94643309468813</v>
      </c>
    </row>
    <row r="27" spans="4:28" ht="15" customHeight="1">
      <c r="D27" s="159" t="s">
        <v>162</v>
      </c>
      <c r="E27" s="176" t="s">
        <v>66</v>
      </c>
      <c r="F27" s="160">
        <f>F26*(1-F19)-Assumptions!$F$20</f>
        <v>1695.0111308694818</v>
      </c>
      <c r="G27" s="160">
        <f>G26*(1-G19)-Assumptions!$F$20</f>
        <v>1245.106243196178</v>
      </c>
      <c r="H27" s="160">
        <f>H26*(1-H19)-Assumptions!$F$20</f>
        <v>878.91795586915168</v>
      </c>
      <c r="I27" s="176" t="s">
        <v>558</v>
      </c>
      <c r="R27" s="177">
        <f>-Assumptions!$F$10</f>
        <v>-450</v>
      </c>
      <c r="S27" s="177">
        <f>'Operating CF'!F$15</f>
        <v>48.808317142857149</v>
      </c>
      <c r="T27" s="177">
        <f>'Operating CF'!G$15</f>
        <v>51.160341657142865</v>
      </c>
      <c r="U27" s="177">
        <f>'Operating CF'!H$15</f>
        <v>53.582926906857153</v>
      </c>
      <c r="V27" s="177">
        <f>'Operating CF'!I$15</f>
        <v>56.078189714062873</v>
      </c>
      <c r="W27" s="177">
        <f>'Operating CF'!J$15</f>
        <v>58.648310405484764</v>
      </c>
      <c r="X27" s="177">
        <f>'Operating CF'!K$15</f>
        <v>61.295534717649304</v>
      </c>
      <c r="Y27" s="177">
        <f>'Operating CF'!L$15</f>
        <v>64.022175759178779</v>
      </c>
      <c r="Z27" s="177">
        <f>'Operating CF'!M$15</f>
        <v>66.83061603195415</v>
      </c>
      <c r="AA27" s="177">
        <f>'Operating CF'!N$15</f>
        <v>69.723309512912778</v>
      </c>
      <c r="AB27" s="177">
        <f>'Operating CF'!O$15+(('Operating CF'!O$18*D38/I$34)*(1-Assumptions!$F$24)-Assumptions!$F$20)</f>
        <v>840.50946231998944</v>
      </c>
    </row>
    <row r="28" spans="4:28" ht="15" customHeight="1">
      <c r="D28" s="169" t="s">
        <v>6</v>
      </c>
      <c r="E28" s="184" t="s">
        <v>89</v>
      </c>
      <c r="F28" s="170">
        <f>XIRR(E55:O55,E54:O54)</f>
        <v>0.15724347233772279</v>
      </c>
      <c r="G28" s="170">
        <f>XIRR(E57:O57,E56:O56)</f>
        <v>0.11390140652656558</v>
      </c>
      <c r="H28" s="170">
        <f>XIRR(E59:O59,E58:O58)</f>
        <v>7.6001480221748366E-2</v>
      </c>
      <c r="I28" s="176" t="s">
        <v>559</v>
      </c>
      <c r="R28" s="177">
        <f>-Assumptions!$F$10</f>
        <v>-450</v>
      </c>
      <c r="S28" s="177">
        <f>'Operating CF'!F$15</f>
        <v>48.808317142857149</v>
      </c>
      <c r="T28" s="177">
        <f>'Operating CF'!G$15</f>
        <v>51.160341657142865</v>
      </c>
      <c r="U28" s="177">
        <f>'Operating CF'!H$15</f>
        <v>53.582926906857153</v>
      </c>
      <c r="V28" s="177">
        <f>'Operating CF'!I$15</f>
        <v>56.078189714062873</v>
      </c>
      <c r="W28" s="177">
        <f>'Operating CF'!J$15</f>
        <v>58.648310405484764</v>
      </c>
      <c r="X28" s="177">
        <f>'Operating CF'!K$15</f>
        <v>61.295534717649304</v>
      </c>
      <c r="Y28" s="177">
        <f>'Operating CF'!L$15</f>
        <v>64.022175759178779</v>
      </c>
      <c r="Z28" s="177">
        <f>'Operating CF'!M$15</f>
        <v>66.83061603195415</v>
      </c>
      <c r="AA28" s="177">
        <f>'Operating CF'!N$15</f>
        <v>69.723309512912778</v>
      </c>
      <c r="AB28" s="177">
        <f>'Operating CF'!O$15+(('Operating CF'!O$18*D39/E$34)*(1-Assumptions!$F$24)-Assumptions!$F$20)</f>
        <v>1275.1365493580167</v>
      </c>
    </row>
    <row r="29" spans="4:28" ht="15" customHeight="1">
      <c r="D29" s="159" t="s">
        <v>13</v>
      </c>
      <c r="E29" s="176" t="s">
        <v>506</v>
      </c>
      <c r="F29" s="161">
        <f>SUM(F55:O55)/ABS(E55)</f>
        <v>5.1063636367019596</v>
      </c>
      <c r="G29" s="161">
        <f>SUM(F57:O57)/ABS(E57)</f>
        <v>3.4834043917997701</v>
      </c>
      <c r="H29" s="161">
        <f>SUM(F59:O59)/ABS(E59)</f>
        <v>2.3932163448790966</v>
      </c>
      <c r="I29" s="176" t="s">
        <v>560</v>
      </c>
      <c r="R29" s="177">
        <f>-Assumptions!$F$10</f>
        <v>-450</v>
      </c>
      <c r="S29" s="177">
        <f>'Operating CF'!F$15</f>
        <v>48.808317142857149</v>
      </c>
      <c r="T29" s="177">
        <f>'Operating CF'!G$15</f>
        <v>51.160341657142865</v>
      </c>
      <c r="U29" s="177">
        <f>'Operating CF'!H$15</f>
        <v>53.582926906857153</v>
      </c>
      <c r="V29" s="177">
        <f>'Operating CF'!I$15</f>
        <v>56.078189714062873</v>
      </c>
      <c r="W29" s="177">
        <f>'Operating CF'!J$15</f>
        <v>58.648310405484764</v>
      </c>
      <c r="X29" s="177">
        <f>'Operating CF'!K$15</f>
        <v>61.295534717649304</v>
      </c>
      <c r="Y29" s="177">
        <f>'Operating CF'!L$15</f>
        <v>64.022175759178779</v>
      </c>
      <c r="Z29" s="177">
        <f>'Operating CF'!M$15</f>
        <v>66.83061603195415</v>
      </c>
      <c r="AA29" s="177">
        <f>'Operating CF'!N$15</f>
        <v>69.723309512912778</v>
      </c>
      <c r="AB29" s="177">
        <f>'Operating CF'!O$15+(('Operating CF'!O$18*D39/F$34)*(1-Assumptions!$F$24)-Assumptions!$F$20)</f>
        <v>1072.3105754069372</v>
      </c>
    </row>
    <row r="30" spans="4:28" ht="15" customHeight="1">
      <c r="D30" s="159" t="s">
        <v>491</v>
      </c>
      <c r="E30" s="176" t="s">
        <v>506</v>
      </c>
      <c r="F30" s="161">
        <f>Assumptions!$F$18/(Assumptions!$F$20*F20)</f>
        <v>2.6493475422102608</v>
      </c>
      <c r="G30" s="161">
        <f>Assumptions!$F$18/(Assumptions!$F$20*G20)</f>
        <v>2.3970287286664269</v>
      </c>
      <c r="H30" s="161">
        <f>Assumptions!$F$18/(Assumptions!$F$20*H20)</f>
        <v>2.1885914479128243</v>
      </c>
      <c r="I30" s="176" t="s">
        <v>561</v>
      </c>
      <c r="R30" s="177">
        <f>-Assumptions!$F$10</f>
        <v>-450</v>
      </c>
      <c r="S30" s="177">
        <f>'Operating CF'!F$15</f>
        <v>48.808317142857149</v>
      </c>
      <c r="T30" s="177">
        <f>'Operating CF'!G$15</f>
        <v>51.160341657142865</v>
      </c>
      <c r="U30" s="177">
        <f>'Operating CF'!H$15</f>
        <v>53.582926906857153</v>
      </c>
      <c r="V30" s="177">
        <f>'Operating CF'!I$15</f>
        <v>56.078189714062873</v>
      </c>
      <c r="W30" s="177">
        <f>'Operating CF'!J$15</f>
        <v>58.648310405484764</v>
      </c>
      <c r="X30" s="177">
        <f>'Operating CF'!K$15</f>
        <v>61.295534717649304</v>
      </c>
      <c r="Y30" s="177">
        <f>'Operating CF'!L$15</f>
        <v>64.022175759178779</v>
      </c>
      <c r="Z30" s="177">
        <f>'Operating CF'!M$15</f>
        <v>66.83061603195415</v>
      </c>
      <c r="AA30" s="177">
        <f>'Operating CF'!N$15</f>
        <v>69.723309512912778</v>
      </c>
      <c r="AB30" s="177">
        <f>'Operating CF'!O$15+(('Operating CF'!O$18*D39/G$34)*(1-Assumptions!$F$24)-Assumptions!$F$20)</f>
        <v>910.04979624607347</v>
      </c>
    </row>
    <row r="31" spans="4:28" ht="15" customHeight="1">
      <c r="D31" s="159"/>
      <c r="F31" s="162"/>
      <c r="G31" s="162"/>
      <c r="H31" s="162"/>
      <c r="R31" s="177">
        <f>-Assumptions!$F$10</f>
        <v>-450</v>
      </c>
      <c r="S31" s="177">
        <f>'Operating CF'!F$15</f>
        <v>48.808317142857149</v>
      </c>
      <c r="T31" s="177">
        <f>'Operating CF'!G$15</f>
        <v>51.160341657142865</v>
      </c>
      <c r="U31" s="177">
        <f>'Operating CF'!H$15</f>
        <v>53.582926906857153</v>
      </c>
      <c r="V31" s="177">
        <f>'Operating CF'!I$15</f>
        <v>56.078189714062873</v>
      </c>
      <c r="W31" s="177">
        <f>'Operating CF'!J$15</f>
        <v>58.648310405484764</v>
      </c>
      <c r="X31" s="177">
        <f>'Operating CF'!K$15</f>
        <v>61.295534717649304</v>
      </c>
      <c r="Y31" s="177">
        <f>'Operating CF'!L$15</f>
        <v>64.022175759178779</v>
      </c>
      <c r="Z31" s="177">
        <f>'Operating CF'!M$15</f>
        <v>66.83061603195415</v>
      </c>
      <c r="AA31" s="177">
        <f>'Operating CF'!N$15</f>
        <v>69.723309512912778</v>
      </c>
      <c r="AB31" s="177">
        <f>'Operating CF'!O$15+(('Operating CF'!O$18*D39/H$34)*(1-Assumptions!$F$24)-Assumptions!$F$20)</f>
        <v>777.29097693263941</v>
      </c>
    </row>
    <row r="32" spans="4:28" ht="15" customHeight="1">
      <c r="D32" s="159"/>
      <c r="F32" s="162"/>
      <c r="G32" s="162"/>
      <c r="H32" s="162"/>
      <c r="R32" s="177">
        <f>-Assumptions!$F$10</f>
        <v>-450</v>
      </c>
      <c r="S32" s="177">
        <f>'Operating CF'!F$15</f>
        <v>48.808317142857149</v>
      </c>
      <c r="T32" s="177">
        <f>'Operating CF'!G$15</f>
        <v>51.160341657142865</v>
      </c>
      <c r="U32" s="177">
        <f>'Operating CF'!H$15</f>
        <v>53.582926906857153</v>
      </c>
      <c r="V32" s="177">
        <f>'Operating CF'!I$15</f>
        <v>56.078189714062873</v>
      </c>
      <c r="W32" s="177">
        <f>'Operating CF'!J$15</f>
        <v>58.648310405484764</v>
      </c>
      <c r="X32" s="177">
        <f>'Operating CF'!K$15</f>
        <v>61.295534717649304</v>
      </c>
      <c r="Y32" s="177">
        <f>'Operating CF'!L$15</f>
        <v>64.022175759178779</v>
      </c>
      <c r="Z32" s="177">
        <f>'Operating CF'!M$15</f>
        <v>66.83061603195415</v>
      </c>
      <c r="AA32" s="177">
        <f>'Operating CF'!N$15</f>
        <v>69.723309512912778</v>
      </c>
      <c r="AB32" s="177">
        <f>'Operating CF'!O$15+(('Operating CF'!O$18*D39/I$34)*(1-Assumptions!$F$24)-Assumptions!$F$20)</f>
        <v>666.65862750477788</v>
      </c>
    </row>
    <row r="33" spans="3:28" ht="15" customHeight="1">
      <c r="C33" s="175" t="s">
        <v>0</v>
      </c>
      <c r="D33" s="165" t="s">
        <v>507</v>
      </c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R33" s="177"/>
      <c r="S33" s="177"/>
      <c r="T33" s="177"/>
      <c r="U33" s="177"/>
      <c r="V33" s="177"/>
      <c r="W33" s="177"/>
      <c r="X33" s="177"/>
      <c r="Y33" s="177"/>
      <c r="Z33" s="177"/>
      <c r="AA33" s="177"/>
      <c r="AB33" s="177"/>
    </row>
    <row r="34" spans="3:28" ht="15" customHeight="1">
      <c r="D34" s="166" t="s">
        <v>508</v>
      </c>
      <c r="E34" s="171">
        <v>0.04</v>
      </c>
      <c r="F34" s="172">
        <v>4.4999999999999998E-2</v>
      </c>
      <c r="G34" s="172">
        <v>0.05</v>
      </c>
      <c r="H34" s="172">
        <v>5.5E-2</v>
      </c>
      <c r="I34" s="171">
        <v>0.06</v>
      </c>
      <c r="R34" s="177"/>
      <c r="S34" s="177"/>
      <c r="T34" s="177"/>
      <c r="U34" s="177"/>
      <c r="V34" s="177"/>
      <c r="W34" s="177"/>
      <c r="X34" s="177"/>
      <c r="Y34" s="177"/>
      <c r="Z34" s="177"/>
      <c r="AA34" s="177"/>
      <c r="AB34" s="177"/>
    </row>
    <row r="35" spans="3:28" ht="15" customHeight="1">
      <c r="D35" s="173">
        <v>1.1000000000000001</v>
      </c>
      <c r="E35" s="163">
        <f>XIRR(R8:AB8,$R$2:$AB$2)</f>
        <v>0.17598690390586849</v>
      </c>
      <c r="F35" s="164">
        <f>XIRR(R9:AB9,$R$2:$AB$2)</f>
        <v>0.16561462283134462</v>
      </c>
      <c r="G35" s="164">
        <f>XIRR(R10:AB10,$R$2:$AB$2)</f>
        <v>0.15636153817176821</v>
      </c>
      <c r="H35" s="164">
        <f>XIRR(R11:AB11,$R$2:$AB$2)</f>
        <v>0.14800177216529847</v>
      </c>
      <c r="I35" s="163">
        <f>XIRR(R12:AB12,$R$2:$AB$2)</f>
        <v>0.14037016034126285</v>
      </c>
      <c r="R35" s="177"/>
      <c r="S35" s="177"/>
      <c r="T35" s="177"/>
      <c r="U35" s="177"/>
      <c r="V35" s="177"/>
      <c r="W35" s="177"/>
      <c r="X35" s="177"/>
      <c r="Y35" s="177"/>
      <c r="Z35" s="177"/>
      <c r="AA35" s="177"/>
      <c r="AB35" s="177"/>
    </row>
    <row r="36" spans="3:28" ht="15" customHeight="1">
      <c r="D36" s="173">
        <v>1</v>
      </c>
      <c r="E36" s="163">
        <f>XIRR(R13:AB13,$R$2:$AB$2)</f>
        <v>0.16759092211723325</v>
      </c>
      <c r="F36" s="164">
        <f>XIRR(R14:AB14,$R$2:$AB$2)</f>
        <v>0.15724347233772279</v>
      </c>
      <c r="G36" s="164">
        <f>XIRR(R15:AB15,$R$2:$AB$2)</f>
        <v>0.14800177216529847</v>
      </c>
      <c r="H36" s="164">
        <f>XIRR(R16:AB16,$R$2:$AB$2)</f>
        <v>0.13964199423789977</v>
      </c>
      <c r="I36" s="163">
        <f>XIRR(R17:AB17,$R$2:$AB$2)</f>
        <v>0.13200047612190247</v>
      </c>
    </row>
    <row r="37" spans="3:28" ht="15" customHeight="1">
      <c r="D37" s="173">
        <v>0.9</v>
      </c>
      <c r="E37" s="163">
        <f>XIRR(R18:AB18,$R$2:$AB$2)</f>
        <v>0.15833374857902532</v>
      </c>
      <c r="F37" s="164">
        <f>XIRR(R19:AB19,$R$2:$AB$2)</f>
        <v>0.14800177216529847</v>
      </c>
      <c r="G37" s="164">
        <f>XIRR(R20:AB20,$R$2:$AB$2)</f>
        <v>0.13876001238822935</v>
      </c>
      <c r="H37" s="164">
        <f>XIRR(R21:AB21,$R$2:$AB$2)</f>
        <v>0.13038689494132999</v>
      </c>
      <c r="I37" s="163">
        <f>XIRR(R22:AB22,$R$2:$AB$2)</f>
        <v>0.12272036671638489</v>
      </c>
    </row>
    <row r="38" spans="3:28" ht="15" customHeight="1">
      <c r="D38" s="173">
        <v>0.8</v>
      </c>
      <c r="E38" s="163">
        <f>XIRR(R23:AB23,$R$2:$AB$2)</f>
        <v>0.14800177216529847</v>
      </c>
      <c r="F38" s="164">
        <f>XIRR(R24:AB24,$R$2:$AB$2)</f>
        <v>0.13766966462135313</v>
      </c>
      <c r="G38" s="164">
        <f>XIRR(R25:AB25,$R$2:$AB$2)</f>
        <v>0.12840935587882996</v>
      </c>
      <c r="H38" s="164">
        <f>XIRR(R26:AB26,$R$2:$AB$2)</f>
        <v>0.12000167965888975</v>
      </c>
      <c r="I38" s="163">
        <f>XIRR(R27:AB27,$R$2:$AB$2)</f>
        <v>0.11228621602058411</v>
      </c>
    </row>
    <row r="39" spans="3:28" ht="15" customHeight="1">
      <c r="D39" s="173">
        <v>0.7</v>
      </c>
      <c r="E39" s="163">
        <f>XIRR(R28:AB28,$R$2:$AB$2)</f>
        <v>0.13628705143928529</v>
      </c>
      <c r="F39" s="164">
        <f>XIRR(R29:AB29,$R$2:$AB$2)</f>
        <v>0.12592807412147519</v>
      </c>
      <c r="G39" s="164">
        <f>XIRR(R30:AB30,$R$2:$AB$2)</f>
        <v>0.11661809086799624</v>
      </c>
      <c r="H39" s="164">
        <f>XIRR(R31:AB31,$R$2:$AB$2)</f>
        <v>0.10814040303230288</v>
      </c>
      <c r="I39" s="163">
        <f>XIRR(R32:AB32,$R$2:$AB$2)</f>
        <v>0.10033628344535828</v>
      </c>
    </row>
    <row r="40" spans="3:28" ht="15" customHeight="1">
      <c r="D40" s="159"/>
      <c r="F40" s="162"/>
      <c r="G40" s="162"/>
      <c r="H40" s="162"/>
    </row>
    <row r="41" spans="3:28" ht="15" customHeight="1">
      <c r="D41" s="159"/>
      <c r="F41" s="162"/>
      <c r="G41" s="162"/>
      <c r="H41" s="162"/>
    </row>
    <row r="42" spans="3:28" ht="15" customHeight="1">
      <c r="C42" s="175" t="s">
        <v>0</v>
      </c>
      <c r="D42" s="165" t="s">
        <v>509</v>
      </c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</row>
    <row r="43" spans="3:28" ht="15" customHeight="1">
      <c r="D43" s="166" t="s">
        <v>510</v>
      </c>
      <c r="E43" s="167" t="s">
        <v>511</v>
      </c>
      <c r="F43" s="168" t="s">
        <v>512</v>
      </c>
      <c r="G43" s="168" t="s">
        <v>513</v>
      </c>
      <c r="H43" s="168" t="s">
        <v>514</v>
      </c>
      <c r="I43" s="158" t="s">
        <v>515</v>
      </c>
    </row>
    <row r="44" spans="3:28" ht="15" customHeight="1">
      <c r="D44" s="159" t="s">
        <v>516</v>
      </c>
      <c r="E44" s="176" t="s">
        <v>68</v>
      </c>
      <c r="F44" s="162" t="s">
        <v>517</v>
      </c>
      <c r="G44" s="162" t="s">
        <v>518</v>
      </c>
      <c r="H44" s="162" t="s">
        <v>568</v>
      </c>
      <c r="I44" s="176" t="s">
        <v>562</v>
      </c>
    </row>
    <row r="45" spans="3:28" ht="15" customHeight="1">
      <c r="D45" s="159" t="s">
        <v>519</v>
      </c>
      <c r="E45" s="176" t="s">
        <v>68</v>
      </c>
      <c r="F45" s="162" t="s">
        <v>520</v>
      </c>
      <c r="G45" s="162" t="s">
        <v>521</v>
      </c>
      <c r="H45" s="162" t="s">
        <v>568</v>
      </c>
      <c r="I45" s="176" t="s">
        <v>563</v>
      </c>
    </row>
    <row r="46" spans="3:28" ht="15" customHeight="1">
      <c r="D46" s="159" t="s">
        <v>522</v>
      </c>
      <c r="E46" s="176" t="s">
        <v>68</v>
      </c>
      <c r="F46" s="162" t="s">
        <v>523</v>
      </c>
      <c r="G46" s="162" t="s">
        <v>524</v>
      </c>
      <c r="H46" s="162" t="s">
        <v>568</v>
      </c>
      <c r="I46" s="176" t="s">
        <v>564</v>
      </c>
    </row>
    <row r="47" spans="3:28" ht="15" customHeight="1">
      <c r="D47" s="159" t="s">
        <v>525</v>
      </c>
      <c r="E47" s="176" t="s">
        <v>68</v>
      </c>
      <c r="F47" s="162" t="s">
        <v>526</v>
      </c>
      <c r="G47" s="162" t="s">
        <v>527</v>
      </c>
      <c r="H47" s="162" t="s">
        <v>569</v>
      </c>
      <c r="I47" s="176" t="s">
        <v>565</v>
      </c>
    </row>
    <row r="48" spans="3:28" ht="15" customHeight="1">
      <c r="D48" s="159" t="s">
        <v>528</v>
      </c>
      <c r="E48" s="176" t="s">
        <v>529</v>
      </c>
      <c r="F48" s="162" t="s">
        <v>530</v>
      </c>
      <c r="G48" s="162" t="s">
        <v>531</v>
      </c>
      <c r="H48" s="162" t="s">
        <v>568</v>
      </c>
      <c r="I48" s="176" t="s">
        <v>566</v>
      </c>
    </row>
    <row r="49" spans="3:15" ht="15" customHeight="1">
      <c r="D49" s="159" t="s">
        <v>532</v>
      </c>
      <c r="E49" s="176" t="s">
        <v>533</v>
      </c>
      <c r="F49" s="162" t="s">
        <v>534</v>
      </c>
      <c r="G49" s="162" t="s">
        <v>535</v>
      </c>
      <c r="H49" s="162" t="s">
        <v>568</v>
      </c>
      <c r="I49" s="176" t="s">
        <v>567</v>
      </c>
    </row>
    <row r="50" spans="3:15" ht="15" customHeight="1">
      <c r="D50" s="159"/>
      <c r="F50" s="162"/>
      <c r="G50" s="162"/>
      <c r="H50" s="162"/>
    </row>
    <row r="51" spans="3:15" ht="15" customHeight="1">
      <c r="D51" s="159"/>
      <c r="F51" s="162"/>
      <c r="G51" s="162"/>
      <c r="H51" s="162"/>
    </row>
    <row r="52" spans="3:15" ht="15" customHeight="1">
      <c r="C52" s="175" t="s">
        <v>0</v>
      </c>
      <c r="D52" s="165" t="s">
        <v>536</v>
      </c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</row>
    <row r="53" spans="3:15" ht="15" customHeight="1">
      <c r="D53" s="166" t="s">
        <v>48</v>
      </c>
      <c r="E53" s="167" t="s">
        <v>165</v>
      </c>
      <c r="F53" s="168" t="s">
        <v>49</v>
      </c>
      <c r="G53" s="168" t="s">
        <v>50</v>
      </c>
      <c r="H53" s="168" t="s">
        <v>51</v>
      </c>
      <c r="I53" s="167" t="s">
        <v>52</v>
      </c>
      <c r="J53" s="167" t="s">
        <v>53</v>
      </c>
      <c r="K53" s="167" t="s">
        <v>54</v>
      </c>
      <c r="L53" s="167" t="s">
        <v>148</v>
      </c>
      <c r="M53" s="167" t="s">
        <v>149</v>
      </c>
      <c r="N53" s="167" t="s">
        <v>150</v>
      </c>
      <c r="O53" s="167" t="s">
        <v>55</v>
      </c>
    </row>
    <row r="54" spans="3:15" ht="15" customHeight="1">
      <c r="D54" s="188" t="s">
        <v>537</v>
      </c>
      <c r="E54" s="189">
        <f>Assumptions!$F$26</f>
        <v>46296</v>
      </c>
      <c r="F54" s="190">
        <f>DATE(YEAR('Operating CF'!F$4),MONTH('Operating CF'!F$4)+F$22,DAY('Operating CF'!F$4))</f>
        <v>47665</v>
      </c>
      <c r="G54" s="190">
        <f>DATE(YEAR('Operating CF'!G$4),MONTH('Operating CF'!G$4)+F$22,DAY('Operating CF'!G$4))</f>
        <v>48030</v>
      </c>
      <c r="H54" s="190">
        <f>DATE(YEAR('Operating CF'!H$4),MONTH('Operating CF'!H$4)+F$22,DAY('Operating CF'!H$4))</f>
        <v>48396</v>
      </c>
      <c r="I54" s="189">
        <f>DATE(YEAR('Operating CF'!I$4),MONTH('Operating CF'!I$4)+F$22,DAY('Operating CF'!I$4))</f>
        <v>48761</v>
      </c>
      <c r="J54" s="189">
        <f>DATE(YEAR('Operating CF'!J$4),MONTH('Operating CF'!J$4)+F$22,DAY('Operating CF'!J$4))</f>
        <v>49126</v>
      </c>
      <c r="K54" s="189">
        <f>DATE(YEAR('Operating CF'!K$4),MONTH('Operating CF'!K$4)+F$22,DAY('Operating CF'!K$4))</f>
        <v>49491</v>
      </c>
      <c r="L54" s="189">
        <f>DATE(YEAR('Operating CF'!L$4),MONTH('Operating CF'!L$4)+F$22,DAY('Operating CF'!L$4))</f>
        <v>49857</v>
      </c>
      <c r="M54" s="189">
        <f>DATE(YEAR('Operating CF'!M$4),MONTH('Operating CF'!M$4)+F$22,DAY('Operating CF'!M$4))</f>
        <v>50222</v>
      </c>
      <c r="N54" s="189">
        <f>DATE(YEAR('Operating CF'!N$4),MONTH('Operating CF'!N$4)+F$22,DAY('Operating CF'!N$4))</f>
        <v>50587</v>
      </c>
      <c r="O54" s="189">
        <f>DATE(YEAR('Operating CF'!O$4),MONTH('Operating CF'!O$4)+F$22,DAY('Operating CF'!O$4))</f>
        <v>50952</v>
      </c>
    </row>
    <row r="55" spans="3:15" ht="15" customHeight="1">
      <c r="D55" s="188" t="s">
        <v>538</v>
      </c>
      <c r="E55" s="191">
        <f>-F$24</f>
        <v>-450</v>
      </c>
      <c r="F55" s="192">
        <f>'Operating CF'!F$6-Assumptions!$F$20*F$20</f>
        <v>48.808317142857149</v>
      </c>
      <c r="G55" s="192">
        <f>'Operating CF'!G$6-Assumptions!$F$20*F$20</f>
        <v>51.160341657142865</v>
      </c>
      <c r="H55" s="192">
        <f>'Operating CF'!H$6-Assumptions!$F$20*F$20</f>
        <v>53.582926906857153</v>
      </c>
      <c r="I55" s="191">
        <f>'Operating CF'!I$6-Assumptions!$F$20*F$20</f>
        <v>56.078189714062873</v>
      </c>
      <c r="J55" s="191">
        <f>'Operating CF'!J$6-Assumptions!$F$20*F$20</f>
        <v>58.648310405484764</v>
      </c>
      <c r="K55" s="191">
        <f>'Operating CF'!K$6-Assumptions!$F$20*F$20</f>
        <v>61.295534717649304</v>
      </c>
      <c r="L55" s="191">
        <f>'Operating CF'!L$6-Assumptions!$F$20*F$20</f>
        <v>64.022175759178779</v>
      </c>
      <c r="M55" s="191">
        <f>'Operating CF'!M$6-Assumptions!$F$20*F$20</f>
        <v>66.83061603195415</v>
      </c>
      <c r="N55" s="191">
        <f>'Operating CF'!N$6-Assumptions!$F$20*F$20</f>
        <v>69.723309512912778</v>
      </c>
      <c r="O55" s="191">
        <f>'Operating CF'!O$6-Assumptions!$F$20*F$20+F$27</f>
        <v>1767.7139146677819</v>
      </c>
    </row>
    <row r="56" spans="3:15" ht="15" customHeight="1">
      <c r="D56" s="188" t="s">
        <v>539</v>
      </c>
      <c r="E56" s="189">
        <f>Assumptions!$F$26</f>
        <v>46296</v>
      </c>
      <c r="F56" s="190">
        <f>DATE(YEAR('Operating CF'!F$4),MONTH('Operating CF'!F$4)+G$22,DAY('Operating CF'!F$4))</f>
        <v>47849</v>
      </c>
      <c r="G56" s="190">
        <f>DATE(YEAR('Operating CF'!G$4),MONTH('Operating CF'!G$4)+G$22,DAY('Operating CF'!G$4))</f>
        <v>48214</v>
      </c>
      <c r="H56" s="190">
        <f>DATE(YEAR('Operating CF'!H$4),MONTH('Operating CF'!H$4)+G$22,DAY('Operating CF'!H$4))</f>
        <v>48580</v>
      </c>
      <c r="I56" s="189">
        <f>DATE(YEAR('Operating CF'!I$4),MONTH('Operating CF'!I$4)+G$22,DAY('Operating CF'!I$4))</f>
        <v>48945</v>
      </c>
      <c r="J56" s="189">
        <f>DATE(YEAR('Operating CF'!J$4),MONTH('Operating CF'!J$4)+G$22,DAY('Operating CF'!J$4))</f>
        <v>49310</v>
      </c>
      <c r="K56" s="189">
        <f>DATE(YEAR('Operating CF'!K$4),MONTH('Operating CF'!K$4)+G$22,DAY('Operating CF'!K$4))</f>
        <v>49675</v>
      </c>
      <c r="L56" s="189">
        <f>DATE(YEAR('Operating CF'!L$4),MONTH('Operating CF'!L$4)+G$22,DAY('Operating CF'!L$4))</f>
        <v>50041</v>
      </c>
      <c r="M56" s="189">
        <f>DATE(YEAR('Operating CF'!M$4),MONTH('Operating CF'!M$4)+G$22,DAY('Operating CF'!M$4))</f>
        <v>50406</v>
      </c>
      <c r="N56" s="189">
        <f>DATE(YEAR('Operating CF'!N$4),MONTH('Operating CF'!N$4)+G$22,DAY('Operating CF'!N$4))</f>
        <v>50771</v>
      </c>
      <c r="O56" s="189">
        <f>DATE(YEAR('Operating CF'!O$4),MONTH('Operating CF'!O$4)+G$22,DAY('Operating CF'!O$4))</f>
        <v>51136</v>
      </c>
    </row>
    <row r="57" spans="3:15" ht="15" customHeight="1">
      <c r="D57" s="188" t="s">
        <v>540</v>
      </c>
      <c r="E57" s="191">
        <f>-G$24</f>
        <v>-521.56124999999997</v>
      </c>
      <c r="F57" s="192">
        <f>'Operating CF'!F$6-Assumptions!$F$20*G$20</f>
        <v>45.693317142857154</v>
      </c>
      <c r="G57" s="192">
        <f>'Operating CF'!G$6-Assumptions!$F$20*G$20</f>
        <v>48.04534165714287</v>
      </c>
      <c r="H57" s="192">
        <f>'Operating CF'!H$6-Assumptions!$F$20*G$20</f>
        <v>50.467926906857159</v>
      </c>
      <c r="I57" s="191">
        <f>'Operating CF'!I$6-Assumptions!$F$20*G$20</f>
        <v>52.963189714062878</v>
      </c>
      <c r="J57" s="191">
        <f>'Operating CF'!J$6-Assumptions!$F$20*G$20</f>
        <v>55.533310405484769</v>
      </c>
      <c r="K57" s="191">
        <f>'Operating CF'!K$6-Assumptions!$F$20*G$20</f>
        <v>58.180534717649309</v>
      </c>
      <c r="L57" s="191">
        <f>'Operating CF'!L$6-Assumptions!$F$20*G$20</f>
        <v>60.907175759178784</v>
      </c>
      <c r="M57" s="191">
        <f>'Operating CF'!M$6-Assumptions!$F$20*G$20</f>
        <v>63.715616031954156</v>
      </c>
      <c r="N57" s="191">
        <f>'Operating CF'!N$6-Assumptions!$F$20*G$20</f>
        <v>66.608309512912783</v>
      </c>
      <c r="O57" s="191">
        <f>'Operating CF'!O$6-Assumptions!$F$20*G$20+G$27</f>
        <v>1314.694026994478</v>
      </c>
    </row>
    <row r="58" spans="3:15" ht="15" customHeight="1">
      <c r="D58" s="188" t="s">
        <v>541</v>
      </c>
      <c r="E58" s="189">
        <f>Assumptions!$F$26</f>
        <v>46296</v>
      </c>
      <c r="F58" s="190">
        <f>DATE(YEAR('Operating CF'!F$4),MONTH('Operating CF'!F$4)+H$22,DAY('Operating CF'!F$4))</f>
        <v>48030</v>
      </c>
      <c r="G58" s="190">
        <f>DATE(YEAR('Operating CF'!G$4),MONTH('Operating CF'!G$4)+H$22,DAY('Operating CF'!G$4))</f>
        <v>48396</v>
      </c>
      <c r="H58" s="190">
        <f>DATE(YEAR('Operating CF'!H$4),MONTH('Operating CF'!H$4)+H$22,DAY('Operating CF'!H$4))</f>
        <v>48761</v>
      </c>
      <c r="I58" s="189">
        <f>DATE(YEAR('Operating CF'!I$4),MONTH('Operating CF'!I$4)+H$22,DAY('Operating CF'!I$4))</f>
        <v>49126</v>
      </c>
      <c r="J58" s="189">
        <f>DATE(YEAR('Operating CF'!J$4),MONTH('Operating CF'!J$4)+H$22,DAY('Operating CF'!J$4))</f>
        <v>49491</v>
      </c>
      <c r="K58" s="189">
        <f>DATE(YEAR('Operating CF'!K$4),MONTH('Operating CF'!K$4)+H$22,DAY('Operating CF'!K$4))</f>
        <v>49857</v>
      </c>
      <c r="L58" s="189">
        <f>DATE(YEAR('Operating CF'!L$4),MONTH('Operating CF'!L$4)+H$22,DAY('Operating CF'!L$4))</f>
        <v>50222</v>
      </c>
      <c r="M58" s="189">
        <f>DATE(YEAR('Operating CF'!M$4),MONTH('Operating CF'!M$4)+H$22,DAY('Operating CF'!M$4))</f>
        <v>50587</v>
      </c>
      <c r="N58" s="189">
        <f>DATE(YEAR('Operating CF'!N$4),MONTH('Operating CF'!N$4)+H$22,DAY('Operating CF'!N$4))</f>
        <v>50952</v>
      </c>
      <c r="O58" s="189">
        <f>DATE(YEAR('Operating CF'!O$4),MONTH('Operating CF'!O$4)+H$22,DAY('Operating CF'!O$4))</f>
        <v>51318</v>
      </c>
    </row>
    <row r="59" spans="3:15" ht="15" customHeight="1">
      <c r="D59" s="188" t="s">
        <v>542</v>
      </c>
      <c r="E59" s="191">
        <f>-H$24</f>
        <v>-593.12249999999995</v>
      </c>
      <c r="F59" s="192">
        <f>'Operating CF'!F$6-Assumptions!$F$20*H$20</f>
        <v>42.578317142857152</v>
      </c>
      <c r="G59" s="192">
        <f>'Operating CF'!G$6-Assumptions!$F$20*H$20</f>
        <v>44.930341657142868</v>
      </c>
      <c r="H59" s="192">
        <f>'Operating CF'!H$6-Assumptions!$F$20*H$20</f>
        <v>47.352926906857157</v>
      </c>
      <c r="I59" s="191">
        <f>'Operating CF'!I$6-Assumptions!$F$20*H$20</f>
        <v>49.848189714062876</v>
      </c>
      <c r="J59" s="191">
        <f>'Operating CF'!J$6-Assumptions!$F$20*H$20</f>
        <v>52.418310405484768</v>
      </c>
      <c r="K59" s="191">
        <f>'Operating CF'!K$6-Assumptions!$F$20*H$20</f>
        <v>55.065534717649307</v>
      </c>
      <c r="L59" s="191">
        <f>'Operating CF'!L$6-Assumptions!$F$20*H$20</f>
        <v>57.792175759178782</v>
      </c>
      <c r="M59" s="191">
        <f>'Operating CF'!M$6-Assumptions!$F$20*H$20</f>
        <v>60.600616031954154</v>
      </c>
      <c r="N59" s="191">
        <f>'Operating CF'!N$6-Assumptions!$F$20*H$20</f>
        <v>63.493309512912781</v>
      </c>
      <c r="O59" s="191">
        <f>'Operating CF'!O$6-Assumptions!$F$20*H$20+H$27</f>
        <v>945.39073966745184</v>
      </c>
    </row>
    <row r="60" spans="3:15" ht="15" customHeight="1">
      <c r="D60" s="159"/>
      <c r="F60" s="162"/>
      <c r="G60" s="162"/>
      <c r="H60" s="162"/>
    </row>
    <row r="61" spans="3:15" ht="15" customHeight="1">
      <c r="D61" s="159"/>
      <c r="F61" s="162"/>
      <c r="G61" s="162"/>
      <c r="H61" s="162"/>
    </row>
    <row r="62" spans="3:15" ht="15" customHeight="1">
      <c r="C62" s="175" t="s">
        <v>0</v>
      </c>
      <c r="D62" s="165" t="s">
        <v>543</v>
      </c>
      <c r="E62" s="165"/>
      <c r="F62" s="165"/>
      <c r="G62" s="165"/>
      <c r="H62" s="165"/>
      <c r="I62" s="165"/>
      <c r="J62" s="165"/>
      <c r="K62" s="165"/>
      <c r="L62" s="165"/>
      <c r="M62" s="165"/>
      <c r="N62" s="165"/>
      <c r="O62" s="165"/>
    </row>
    <row r="63" spans="3:15" ht="15" customHeight="1">
      <c r="D63" s="166" t="s">
        <v>48</v>
      </c>
      <c r="E63" s="167" t="s">
        <v>62</v>
      </c>
      <c r="F63" s="168" t="s">
        <v>226</v>
      </c>
      <c r="G63" s="168" t="s">
        <v>496</v>
      </c>
      <c r="H63" s="168" t="s">
        <v>497</v>
      </c>
      <c r="I63" s="158" t="s">
        <v>544</v>
      </c>
      <c r="J63" s="158"/>
      <c r="K63" s="158"/>
      <c r="L63" s="158"/>
      <c r="M63" s="158"/>
      <c r="N63" s="158"/>
      <c r="O63" s="158"/>
    </row>
    <row r="64" spans="3:15" ht="15" customHeight="1">
      <c r="D64" s="159" t="s">
        <v>545</v>
      </c>
      <c r="E64" s="176" t="s">
        <v>66</v>
      </c>
      <c r="F64" s="160">
        <f>Assumptions!$F$18/F17</f>
        <v>1742.2403809523812</v>
      </c>
      <c r="G64" s="160">
        <f>Assumptions!$F$18/G17</f>
        <v>1568.0163428571429</v>
      </c>
      <c r="H64" s="160">
        <f>Assumptions!$F$18/H17</f>
        <v>1425.4694025974027</v>
      </c>
      <c r="I64" s="176" t="s">
        <v>570</v>
      </c>
    </row>
    <row r="65" spans="4:9" ht="15" customHeight="1">
      <c r="D65" s="159" t="s">
        <v>492</v>
      </c>
      <c r="E65" s="176" t="s">
        <v>89</v>
      </c>
      <c r="F65" s="164">
        <f>Assumptions!$F$20/F64</f>
        <v>0.35758555869279202</v>
      </c>
      <c r="G65" s="164">
        <f>Assumptions!$F$20/G64</f>
        <v>0.39731728743643557</v>
      </c>
      <c r="H65" s="164">
        <f>Assumptions!$F$20/H64</f>
        <v>0.43704901618007913</v>
      </c>
      <c r="I65" s="176" t="s">
        <v>571</v>
      </c>
    </row>
    <row r="66" spans="4:9" ht="15" customHeight="1">
      <c r="D66" s="159" t="s">
        <v>546</v>
      </c>
      <c r="E66" s="176" t="s">
        <v>89</v>
      </c>
      <c r="F66" s="164">
        <f>Assumptions!$F$18/Assumptions!$F$20</f>
        <v>0.1258440082549874</v>
      </c>
      <c r="G66" s="164">
        <f>Assumptions!$F$18/Assumptions!$F$20</f>
        <v>0.1258440082549874</v>
      </c>
      <c r="H66" s="164">
        <f>Assumptions!$F$18/Assumptions!$F$20</f>
        <v>0.1258440082549874</v>
      </c>
      <c r="I66" s="176" t="s">
        <v>572</v>
      </c>
    </row>
    <row r="67" spans="4:9" ht="15" customHeight="1">
      <c r="D67" s="159" t="s">
        <v>491</v>
      </c>
      <c r="E67" s="176" t="s">
        <v>506</v>
      </c>
      <c r="F67" s="161">
        <f>F30</f>
        <v>2.6493475422102608</v>
      </c>
      <c r="G67" s="161">
        <f>G30</f>
        <v>2.3970287286664269</v>
      </c>
      <c r="H67" s="161">
        <f>H30</f>
        <v>2.1885914479128243</v>
      </c>
      <c r="I67" s="176" t="s">
        <v>573</v>
      </c>
    </row>
  </sheetData>
  <phoneticPr fontId="26" type="noConversion"/>
  <conditionalFormatting sqref="E35:I39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4.9989318521683403E-2"/>
  </sheetPr>
  <dimension ref="A1:AC100"/>
  <sheetViews>
    <sheetView showGridLines="0" zoomScale="70" zoomScaleNormal="70" workbookViewId="0"/>
  </sheetViews>
  <sheetFormatPr defaultColWidth="15.69921875" defaultRowHeight="17.399999999999999"/>
  <cols>
    <col min="1" max="3" width="1.69921875" style="1" customWidth="1"/>
    <col min="4" max="4" width="30.69921875" style="1" customWidth="1"/>
    <col min="5" max="16384" width="15.69921875" style="1"/>
  </cols>
  <sheetData>
    <row r="1" spans="1:29" s="73" customFormat="1" ht="15" customHeight="1">
      <c r="A1" s="1"/>
      <c r="B1" s="1"/>
      <c r="C1" s="1" t="s">
        <v>0</v>
      </c>
      <c r="D1" s="71" t="s">
        <v>173</v>
      </c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</row>
    <row r="2" spans="1:29" ht="15" customHeight="1"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</row>
    <row r="3" spans="1:29" ht="15" customHeight="1">
      <c r="D3" s="35" t="s">
        <v>174</v>
      </c>
      <c r="E3" s="45" t="s">
        <v>175</v>
      </c>
      <c r="F3" s="45" t="s">
        <v>176</v>
      </c>
      <c r="G3" s="45" t="s">
        <v>177</v>
      </c>
      <c r="H3" s="45" t="s">
        <v>178</v>
      </c>
      <c r="I3" s="45" t="s">
        <v>179</v>
      </c>
      <c r="J3" s="45" t="s">
        <v>180</v>
      </c>
      <c r="K3" s="45" t="s">
        <v>181</v>
      </c>
      <c r="L3" s="45" t="s">
        <v>182</v>
      </c>
      <c r="M3" s="45" t="s">
        <v>183</v>
      </c>
      <c r="N3" s="45" t="s">
        <v>184</v>
      </c>
      <c r="O3" s="45" t="s">
        <v>185</v>
      </c>
      <c r="P3" s="45" t="s">
        <v>186</v>
      </c>
      <c r="Q3" s="37" t="s">
        <v>187</v>
      </c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</row>
    <row r="4" spans="1:29" ht="15" customHeight="1">
      <c r="D4" s="23" t="s">
        <v>166</v>
      </c>
      <c r="E4" s="38">
        <v>46296</v>
      </c>
      <c r="F4" s="38">
        <v>46387</v>
      </c>
      <c r="G4" s="38">
        <v>46477</v>
      </c>
      <c r="H4" s="38">
        <v>46568</v>
      </c>
      <c r="I4" s="38">
        <v>46660</v>
      </c>
      <c r="J4" s="38">
        <v>46752</v>
      </c>
      <c r="K4" s="38">
        <v>46843</v>
      </c>
      <c r="L4" s="38">
        <v>46934</v>
      </c>
      <c r="M4" s="38">
        <v>47026</v>
      </c>
      <c r="N4" s="38">
        <v>47118</v>
      </c>
      <c r="O4" s="38">
        <v>47208</v>
      </c>
      <c r="P4" s="38">
        <v>47299</v>
      </c>
      <c r="Q4" s="37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</row>
    <row r="5" spans="1:29" ht="15" customHeight="1">
      <c r="D5" s="23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37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</row>
    <row r="6" spans="1:29" ht="15" customHeight="1">
      <c r="D6" s="23" t="s">
        <v>188</v>
      </c>
      <c r="E6" s="39">
        <v>0</v>
      </c>
      <c r="F6" s="39">
        <v>0.03</v>
      </c>
      <c r="G6" s="39">
        <v>0.05</v>
      </c>
      <c r="H6" s="39">
        <v>7.0000000000000007E-2</v>
      </c>
      <c r="I6" s="39">
        <v>0.1</v>
      </c>
      <c r="J6" s="39">
        <v>0.12</v>
      </c>
      <c r="K6" s="39">
        <v>0.14000000000000001</v>
      </c>
      <c r="L6" s="39">
        <v>0.14000000000000001</v>
      </c>
      <c r="M6" s="39">
        <v>0.12</v>
      </c>
      <c r="N6" s="39">
        <v>0.1</v>
      </c>
      <c r="O6" s="39">
        <v>0.08</v>
      </c>
      <c r="P6" s="39">
        <v>0.05</v>
      </c>
      <c r="Q6" s="40">
        <f>SUM(F6:P6)</f>
        <v>1</v>
      </c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</row>
    <row r="7" spans="1:29" ht="15" customHeight="1">
      <c r="D7" s="23" t="s">
        <v>189</v>
      </c>
      <c r="E7" s="31">
        <v>0</v>
      </c>
      <c r="F7" s="31">
        <f>(Assumptions!$F$7+Assumptions!$F$8)*F6</f>
        <v>12.866999999999999</v>
      </c>
      <c r="G7" s="31">
        <f>(Assumptions!$F$7+Assumptions!$F$8)*G6</f>
        <v>21.445</v>
      </c>
      <c r="H7" s="31">
        <f>(Assumptions!$F$7+Assumptions!$F$8)*H6</f>
        <v>30.023</v>
      </c>
      <c r="I7" s="31">
        <f>(Assumptions!$F$7+Assumptions!$F$8)*I6</f>
        <v>42.89</v>
      </c>
      <c r="J7" s="31">
        <f>(Assumptions!$F$7+Assumptions!$F$8)*J6</f>
        <v>51.467999999999996</v>
      </c>
      <c r="K7" s="31">
        <f>(Assumptions!$F$7+Assumptions!$F$8)*K6</f>
        <v>60.045999999999999</v>
      </c>
      <c r="L7" s="31">
        <f>(Assumptions!$F$7+Assumptions!$F$8)*L6</f>
        <v>60.045999999999999</v>
      </c>
      <c r="M7" s="31">
        <f>(Assumptions!$F$7+Assumptions!$F$8)*M6</f>
        <v>51.467999999999996</v>
      </c>
      <c r="N7" s="31">
        <f>(Assumptions!$F$7+Assumptions!$F$8)*N6</f>
        <v>42.89</v>
      </c>
      <c r="O7" s="31">
        <f>(Assumptions!$F$7+Assumptions!$F$8)*O6</f>
        <v>34.311999999999998</v>
      </c>
      <c r="P7" s="31">
        <f>(Assumptions!$F$7+Assumptions!$F$8)*P6</f>
        <v>21.445</v>
      </c>
      <c r="Q7" s="41">
        <f>SUM(E7:P7)</f>
        <v>428.9</v>
      </c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</row>
    <row r="8" spans="1:29" ht="15" customHeight="1">
      <c r="D8" s="23" t="s">
        <v>190</v>
      </c>
      <c r="E8" s="25">
        <f>Assumptions!$F$6</f>
        <v>580</v>
      </c>
      <c r="F8" s="31">
        <v>0</v>
      </c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41">
        <f>SUM(E8:P8)</f>
        <v>580</v>
      </c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</row>
    <row r="9" spans="1:29" ht="15" customHeight="1">
      <c r="D9" s="23" t="s">
        <v>191</v>
      </c>
      <c r="E9" s="25">
        <f>Assumptions!$F$14</f>
        <v>7.7742227585999997</v>
      </c>
      <c r="F9" s="31">
        <v>0</v>
      </c>
      <c r="G9" s="31">
        <v>0</v>
      </c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1">
        <v>0</v>
      </c>
      <c r="Q9" s="41">
        <f>SUM(E9:P9)</f>
        <v>7.7742227585999997</v>
      </c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</row>
    <row r="10" spans="1:29" ht="15" customHeight="1">
      <c r="D10" s="23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41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</row>
    <row r="11" spans="1:29" ht="15" customHeight="1">
      <c r="D11" s="23" t="s">
        <v>192</v>
      </c>
      <c r="E11" s="31">
        <v>0</v>
      </c>
      <c r="F11" s="31">
        <f t="shared" ref="F11:P11" si="0">E14</f>
        <v>137.77422275859999</v>
      </c>
      <c r="G11" s="31">
        <f t="shared" si="0"/>
        <v>152.71420877325485</v>
      </c>
      <c r="H11" s="31">
        <f t="shared" si="0"/>
        <v>176.50861146187037</v>
      </c>
      <c r="I11" s="31">
        <f t="shared" si="0"/>
        <v>209.28471306413476</v>
      </c>
      <c r="J11" s="31">
        <f t="shared" si="0"/>
        <v>255.49145268943172</v>
      </c>
      <c r="K11" s="31">
        <f t="shared" si="0"/>
        <v>311.0020685718423</v>
      </c>
      <c r="L11" s="31">
        <f t="shared" si="0"/>
        <v>375.95030393256252</v>
      </c>
      <c r="M11" s="31">
        <f t="shared" si="0"/>
        <v>441.83217017659308</v>
      </c>
      <c r="N11" s="31">
        <f t="shared" si="0"/>
        <v>500.02143387288163</v>
      </c>
      <c r="O11" s="31">
        <f t="shared" si="0"/>
        <v>550.40751385980434</v>
      </c>
      <c r="P11" s="31">
        <f t="shared" si="0"/>
        <v>592.87823937153905</v>
      </c>
      <c r="Q11" s="41">
        <v>0</v>
      </c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</row>
    <row r="12" spans="1:29" ht="15" customHeight="1">
      <c r="D12" s="23" t="s">
        <v>193</v>
      </c>
      <c r="E12" s="25">
        <f>Assumptions!$F$12+Assumptions!$F$14</f>
        <v>137.77422275859999</v>
      </c>
      <c r="F12" s="31">
        <f t="shared" ref="F12:P12" si="1">F7</f>
        <v>12.866999999999999</v>
      </c>
      <c r="G12" s="31">
        <f t="shared" si="1"/>
        <v>21.445</v>
      </c>
      <c r="H12" s="31">
        <f t="shared" si="1"/>
        <v>30.023</v>
      </c>
      <c r="I12" s="31">
        <f t="shared" si="1"/>
        <v>42.89</v>
      </c>
      <c r="J12" s="31">
        <f t="shared" si="1"/>
        <v>51.467999999999996</v>
      </c>
      <c r="K12" s="31">
        <f t="shared" si="1"/>
        <v>60.045999999999999</v>
      </c>
      <c r="L12" s="31">
        <f t="shared" si="1"/>
        <v>60.045999999999999</v>
      </c>
      <c r="M12" s="31">
        <f t="shared" si="1"/>
        <v>51.467999999999996</v>
      </c>
      <c r="N12" s="31">
        <f t="shared" si="1"/>
        <v>42.89</v>
      </c>
      <c r="O12" s="31">
        <f t="shared" si="1"/>
        <v>34.311999999999998</v>
      </c>
      <c r="P12" s="31">
        <f t="shared" si="1"/>
        <v>21.445</v>
      </c>
      <c r="Q12" s="41">
        <f>SUM(E12:P12)</f>
        <v>566.67422275859997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</row>
    <row r="13" spans="1:29" ht="15" customHeight="1">
      <c r="D13" s="23" t="s">
        <v>194</v>
      </c>
      <c r="E13" s="25">
        <v>0</v>
      </c>
      <c r="F13" s="31">
        <f>(F11+0.5*F12)*Assumptions!$F$13/4</f>
        <v>2.0729860146548749</v>
      </c>
      <c r="G13" s="31">
        <f>(G11+0.5*G12)*Assumptions!$F$13/4</f>
        <v>2.3494026886155384</v>
      </c>
      <c r="H13" s="31">
        <f>(H11+0.5*H12)*Assumptions!$F$13/4</f>
        <v>2.7531016022643868</v>
      </c>
      <c r="I13" s="31">
        <f>(I11+0.5*I12)*Assumptions!$F$13/4</f>
        <v>3.3167396252969374</v>
      </c>
      <c r="J13" s="31">
        <f>(J11+0.5*J12)*Assumptions!$F$13/4</f>
        <v>4.0426158824105816</v>
      </c>
      <c r="K13" s="31">
        <f>(K11+0.5*K12)*Assumptions!$F$13/4</f>
        <v>4.9022353607202334</v>
      </c>
      <c r="L13" s="31">
        <f>(L11+0.5*L12)*Assumptions!$F$13/4</f>
        <v>5.8358662440305871</v>
      </c>
      <c r="M13" s="31">
        <f>(M11+0.5*M12)*Assumptions!$F$13/4</f>
        <v>6.7212636962885259</v>
      </c>
      <c r="N13" s="31">
        <f>(N11+0.5*N12)*Assumptions!$F$13/4</f>
        <v>7.4960799869226742</v>
      </c>
      <c r="O13" s="31">
        <f>(O11+0.5*O12)*Assumptions!$F$13/4</f>
        <v>8.1587255117346871</v>
      </c>
      <c r="P13" s="31">
        <f>(P11+0.5*P12)*Assumptions!$F$13/4</f>
        <v>8.6767606284658729</v>
      </c>
      <c r="Q13" s="41">
        <f>SUM(E13:P13)</f>
        <v>56.3257772414049</v>
      </c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</row>
    <row r="14" spans="1:29" ht="15" customHeight="1">
      <c r="D14" s="29" t="s">
        <v>195</v>
      </c>
      <c r="E14" s="30">
        <f t="shared" ref="E14:P14" si="2">E11+E12+E13</f>
        <v>137.77422275859999</v>
      </c>
      <c r="F14" s="32">
        <f t="shared" si="2"/>
        <v>152.71420877325485</v>
      </c>
      <c r="G14" s="32">
        <f t="shared" si="2"/>
        <v>176.50861146187037</v>
      </c>
      <c r="H14" s="32">
        <f t="shared" si="2"/>
        <v>209.28471306413476</v>
      </c>
      <c r="I14" s="32">
        <f t="shared" si="2"/>
        <v>255.49145268943172</v>
      </c>
      <c r="J14" s="32">
        <f t="shared" si="2"/>
        <v>311.0020685718423</v>
      </c>
      <c r="K14" s="32">
        <f t="shared" si="2"/>
        <v>375.95030393256252</v>
      </c>
      <c r="L14" s="32">
        <f t="shared" si="2"/>
        <v>441.83217017659308</v>
      </c>
      <c r="M14" s="32">
        <f t="shared" si="2"/>
        <v>500.02143387288163</v>
      </c>
      <c r="N14" s="32">
        <f t="shared" si="2"/>
        <v>550.40751385980434</v>
      </c>
      <c r="O14" s="32">
        <f t="shared" si="2"/>
        <v>592.87823937153905</v>
      </c>
      <c r="P14" s="32">
        <f t="shared" si="2"/>
        <v>623.000000000005</v>
      </c>
      <c r="Q14" s="42">
        <f>P14</f>
        <v>623.000000000005</v>
      </c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</row>
    <row r="15" spans="1:29" ht="15" customHeight="1">
      <c r="D15" s="23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41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</row>
    <row r="16" spans="1:29" ht="15" customHeight="1">
      <c r="D16" s="23" t="s">
        <v>196</v>
      </c>
      <c r="E16" s="25">
        <f>Assumptions!$F$10</f>
        <v>450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41">
        <f>SUM(E16:P16)</f>
        <v>450</v>
      </c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 spans="1:29" ht="15" customHeight="1">
      <c r="D17" s="29" t="s">
        <v>197</v>
      </c>
      <c r="E17" s="30">
        <f>SUM(E12,E13,E16)</f>
        <v>587.77422275859999</v>
      </c>
      <c r="F17" s="32">
        <f t="shared" ref="F17:P17" si="3">SUM(F12,F13,F16)</f>
        <v>14.939986014654874</v>
      </c>
      <c r="G17" s="32">
        <f t="shared" si="3"/>
        <v>23.794402688615538</v>
      </c>
      <c r="H17" s="32">
        <f t="shared" si="3"/>
        <v>32.77610160226439</v>
      </c>
      <c r="I17" s="32">
        <f t="shared" si="3"/>
        <v>46.20673962529694</v>
      </c>
      <c r="J17" s="32">
        <f t="shared" si="3"/>
        <v>55.510615882410576</v>
      </c>
      <c r="K17" s="32">
        <f t="shared" si="3"/>
        <v>64.948235360720233</v>
      </c>
      <c r="L17" s="32">
        <f t="shared" si="3"/>
        <v>65.88186624403059</v>
      </c>
      <c r="M17" s="32">
        <f t="shared" si="3"/>
        <v>58.189263696288521</v>
      </c>
      <c r="N17" s="32">
        <f t="shared" si="3"/>
        <v>50.386079986922674</v>
      </c>
      <c r="O17" s="32">
        <f t="shared" si="3"/>
        <v>42.470725511734685</v>
      </c>
      <c r="P17" s="32">
        <f t="shared" si="3"/>
        <v>30.121760628465871</v>
      </c>
      <c r="Q17" s="42">
        <f>SUM(E17:P17)</f>
        <v>1073.0000000000048</v>
      </c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 spans="1:29" ht="15" customHeight="1">
      <c r="D18" s="29" t="s">
        <v>198</v>
      </c>
      <c r="E18" s="30">
        <f>SUM(E7:E9,E13)</f>
        <v>587.77422275859999</v>
      </c>
      <c r="F18" s="32">
        <f t="shared" ref="F18:P18" si="4">SUM(F7:F9,F13)</f>
        <v>14.939986014654874</v>
      </c>
      <c r="G18" s="32">
        <f t="shared" si="4"/>
        <v>23.794402688615538</v>
      </c>
      <c r="H18" s="32">
        <f t="shared" si="4"/>
        <v>32.77610160226439</v>
      </c>
      <c r="I18" s="32">
        <f t="shared" si="4"/>
        <v>46.20673962529694</v>
      </c>
      <c r="J18" s="32">
        <f t="shared" si="4"/>
        <v>55.510615882410576</v>
      </c>
      <c r="K18" s="32">
        <f t="shared" si="4"/>
        <v>64.948235360720233</v>
      </c>
      <c r="L18" s="32">
        <f t="shared" si="4"/>
        <v>65.88186624403059</v>
      </c>
      <c r="M18" s="32">
        <f t="shared" si="4"/>
        <v>58.189263696288521</v>
      </c>
      <c r="N18" s="32">
        <f t="shared" si="4"/>
        <v>50.386079986922674</v>
      </c>
      <c r="O18" s="32">
        <f t="shared" si="4"/>
        <v>42.470725511734685</v>
      </c>
      <c r="P18" s="32">
        <f t="shared" si="4"/>
        <v>30.121760628465871</v>
      </c>
      <c r="Q18" s="42">
        <f>SUM(E18:P18)</f>
        <v>1073.0000000000048</v>
      </c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</row>
    <row r="19" spans="1:29" ht="15" customHeight="1">
      <c r="D19" s="29" t="s">
        <v>199</v>
      </c>
      <c r="E19" s="32">
        <f t="shared" ref="E19:P19" si="5">E17-E18</f>
        <v>0</v>
      </c>
      <c r="F19" s="32">
        <f t="shared" si="5"/>
        <v>0</v>
      </c>
      <c r="G19" s="32">
        <f t="shared" si="5"/>
        <v>0</v>
      </c>
      <c r="H19" s="32">
        <f t="shared" si="5"/>
        <v>0</v>
      </c>
      <c r="I19" s="32">
        <f t="shared" si="5"/>
        <v>0</v>
      </c>
      <c r="J19" s="32">
        <f t="shared" si="5"/>
        <v>0</v>
      </c>
      <c r="K19" s="32">
        <f t="shared" si="5"/>
        <v>0</v>
      </c>
      <c r="L19" s="32">
        <f t="shared" si="5"/>
        <v>0</v>
      </c>
      <c r="M19" s="32">
        <f t="shared" si="5"/>
        <v>0</v>
      </c>
      <c r="N19" s="32">
        <f t="shared" si="5"/>
        <v>0</v>
      </c>
      <c r="O19" s="32">
        <f t="shared" si="5"/>
        <v>0</v>
      </c>
      <c r="P19" s="32">
        <f t="shared" si="5"/>
        <v>0</v>
      </c>
      <c r="Q19" s="42">
        <f>SUM(E19:P19)</f>
        <v>0</v>
      </c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</row>
    <row r="20" spans="1:29" ht="15" customHeight="1">
      <c r="D20" s="23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 spans="1:29" s="73" customFormat="1" ht="15" customHeight="1">
      <c r="A21" s="1"/>
      <c r="B21" s="1"/>
      <c r="C21" s="1" t="s">
        <v>0</v>
      </c>
      <c r="D21" s="71" t="s">
        <v>200</v>
      </c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</row>
    <row r="22" spans="1:29" ht="15" customHeight="1">
      <c r="D22" s="35" t="s">
        <v>48</v>
      </c>
      <c r="E22" s="18" t="s">
        <v>61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 spans="1:29" ht="15" customHeight="1">
      <c r="D23" s="23" t="s">
        <v>201</v>
      </c>
      <c r="E23" s="17">
        <f>P14</f>
        <v>623.000000000005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 spans="1:29" ht="15" customHeight="1">
      <c r="D24" s="23" t="s">
        <v>202</v>
      </c>
      <c r="E24" s="17">
        <f>SUM(F13:P13)</f>
        <v>56.3257772414049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 spans="1:29" ht="15" customHeight="1">
      <c r="D25" s="23" t="s">
        <v>191</v>
      </c>
      <c r="E25" s="17">
        <f>Assumptions!$F$14</f>
        <v>7.7742227585999997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 spans="1:29" ht="15" customHeight="1">
      <c r="D26" s="29" t="s">
        <v>203</v>
      </c>
      <c r="E26" s="43">
        <f>SUM(E24:E25)</f>
        <v>64.100000000004897</v>
      </c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 spans="1:29" ht="15" customHeight="1"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 spans="1:29" ht="15" customHeight="1"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 spans="1:29" ht="15" customHeight="1"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 spans="1:29" ht="15" customHeight="1"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 spans="1:29" ht="15" customHeight="1"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 spans="1:29" ht="15" customHeight="1"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 spans="4:29" ht="15" customHeight="1"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 spans="4:29" ht="15" customHeight="1"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 spans="4:29" ht="15" customHeight="1"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 spans="4:29" ht="15" customHeight="1"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 spans="4:29" ht="15" customHeight="1"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</row>
    <row r="38" spans="4:29" ht="15" customHeight="1"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 spans="4:29" ht="15" customHeight="1"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</row>
    <row r="40" spans="4:29" ht="15" customHeight="1"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 spans="4:29" ht="15" customHeight="1"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 spans="4:29" ht="15" customHeight="1"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 spans="4:29" ht="15" customHeight="1"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</row>
    <row r="44" spans="4:29" ht="15" customHeight="1"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spans="4:29" ht="15" customHeight="1"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</row>
    <row r="46" spans="4:29" ht="15" customHeight="1"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</row>
    <row r="47" spans="4:29" ht="15" customHeight="1"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 spans="4:29" ht="15" customHeight="1"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 spans="4:29" ht="15" customHeight="1"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</row>
    <row r="50" spans="4:29" ht="15" customHeight="1"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 spans="4:29" ht="15" customHeight="1"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</row>
    <row r="52" spans="4:29" ht="15" customHeight="1"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 spans="4:29" ht="15" customHeight="1"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</row>
    <row r="54" spans="4:29" ht="15" customHeight="1"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</row>
    <row r="55" spans="4:29" ht="15" customHeight="1"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</row>
    <row r="56" spans="4:29" ht="15" customHeight="1"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 spans="4:29" ht="15" customHeight="1"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 spans="4:29" ht="15" customHeight="1"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 spans="4:29" ht="15" customHeight="1"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</row>
    <row r="60" spans="4:29" ht="15" customHeight="1"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</row>
    <row r="61" spans="4:29" ht="15" customHeight="1"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 spans="4:29" ht="15" customHeight="1"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 spans="4:29" ht="15" customHeight="1"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 spans="4:29" ht="15" customHeight="1"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 spans="4:29" ht="15" customHeight="1"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 spans="4:29" ht="15" customHeight="1"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</row>
    <row r="67" spans="4:29" ht="15" customHeight="1"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</row>
    <row r="68" spans="4:29" ht="15" customHeight="1"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 spans="4:29" ht="15" customHeight="1"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</row>
    <row r="70" spans="4:29" ht="15" customHeight="1"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 spans="4:29" ht="15" customHeight="1"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</row>
    <row r="72" spans="4:29" ht="15" customHeight="1"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 spans="4:29" ht="15" customHeight="1"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 spans="4:29" ht="15" customHeight="1"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</row>
    <row r="75" spans="4:29" ht="15" customHeight="1"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 spans="4:29" ht="15" customHeight="1"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 spans="4:29" ht="15" customHeight="1"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 spans="4:29" ht="15" customHeight="1"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 spans="4:29" ht="15" customHeight="1"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 spans="4:29" ht="15" customHeight="1"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 spans="4:29" ht="15" customHeight="1"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 spans="4:29" ht="15" customHeight="1"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 spans="4:29" ht="15" customHeight="1"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 spans="4:29" ht="15" customHeight="1"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 spans="4:29" ht="15" customHeight="1"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</row>
    <row r="86" spans="4:29" ht="15" customHeight="1"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 spans="4:29" ht="15" customHeight="1"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</row>
    <row r="88" spans="4:29" ht="15" customHeight="1"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</row>
    <row r="89" spans="4:29" ht="15" customHeight="1"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</row>
    <row r="90" spans="4:29" ht="15" customHeight="1"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 spans="4:29" ht="15" customHeight="1"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 spans="4:29" ht="15" customHeight="1"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 spans="4:29" ht="15" customHeight="1"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 spans="4:29" ht="15" customHeight="1"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 spans="4:29" ht="15" customHeight="1"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</row>
    <row r="96" spans="4:29" ht="15" customHeight="1"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</row>
    <row r="97" spans="4:29" ht="15" customHeight="1"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</row>
    <row r="98" spans="4:29" ht="15" customHeight="1"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</row>
    <row r="99" spans="4:29" ht="15" customHeight="1"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</row>
    <row r="100" spans="4:29" ht="15" customHeight="1"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</row>
  </sheetData>
  <phoneticPr fontId="2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9.9978637043366805E-2"/>
  </sheetPr>
  <dimension ref="A1"/>
  <sheetViews>
    <sheetView topLeftCell="A1048576" workbookViewId="0">
      <selection sqref="A1:XFD1048576"/>
    </sheetView>
  </sheetViews>
  <sheetFormatPr defaultRowHeight="17.399999999999999" zeroHeight="1"/>
  <sheetData/>
  <phoneticPr fontId="2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 tint="0.89992980742820516"/>
  </sheetPr>
  <dimension ref="A1:M70"/>
  <sheetViews>
    <sheetView showGridLines="0" zoomScale="70" zoomScaleNormal="70" workbookViewId="0"/>
  </sheetViews>
  <sheetFormatPr defaultColWidth="15.69921875" defaultRowHeight="17.399999999999999"/>
  <cols>
    <col min="1" max="3" width="1.69921875" style="66" customWidth="1"/>
    <col min="4" max="5" width="30.69921875" style="53" customWidth="1"/>
    <col min="6" max="16384" width="15.69921875" style="53"/>
  </cols>
  <sheetData>
    <row r="1" spans="1:10" s="65" customFormat="1" ht="15" customHeight="1">
      <c r="A1" s="66"/>
      <c r="B1" s="66"/>
      <c r="C1" s="66" t="s">
        <v>0</v>
      </c>
      <c r="D1" s="67" t="s">
        <v>204</v>
      </c>
      <c r="E1" s="67"/>
      <c r="F1" s="67"/>
      <c r="G1" s="67"/>
      <c r="H1" s="67"/>
      <c r="I1" s="67"/>
      <c r="J1" s="67"/>
    </row>
    <row r="2" spans="1:10" ht="15" customHeight="1">
      <c r="D2" s="103"/>
      <c r="E2" s="103"/>
      <c r="F2" s="103"/>
      <c r="G2" s="103"/>
      <c r="H2" s="103"/>
      <c r="I2" s="103"/>
      <c r="J2" s="103"/>
    </row>
    <row r="3" spans="1:10" s="104" customFormat="1" ht="15" customHeight="1">
      <c r="A3" s="66"/>
      <c r="B3" s="66"/>
      <c r="C3" s="66"/>
      <c r="D3" s="106" t="s">
        <v>205</v>
      </c>
    </row>
    <row r="4" spans="1:10" s="104" customFormat="1" ht="15" customHeight="1">
      <c r="A4" s="66"/>
      <c r="B4" s="66"/>
      <c r="C4" s="66"/>
      <c r="D4" s="107" t="s">
        <v>206</v>
      </c>
      <c r="E4" s="107" t="s">
        <v>207</v>
      </c>
      <c r="F4" s="107" t="s">
        <v>208</v>
      </c>
    </row>
    <row r="5" spans="1:10" s="104" customFormat="1" ht="15" customHeight="1">
      <c r="A5" s="66"/>
      <c r="B5" s="66"/>
      <c r="C5" s="66"/>
      <c r="D5" s="108" t="s">
        <v>209</v>
      </c>
      <c r="E5" s="108" t="s">
        <v>210</v>
      </c>
      <c r="F5" s="108">
        <v>151</v>
      </c>
    </row>
    <row r="6" spans="1:10" s="104" customFormat="1" ht="15" customHeight="1">
      <c r="A6" s="66"/>
      <c r="B6" s="66"/>
      <c r="C6" s="66"/>
      <c r="D6" s="108" t="s">
        <v>211</v>
      </c>
      <c r="E6" s="108" t="s">
        <v>210</v>
      </c>
      <c r="F6" s="108">
        <v>241</v>
      </c>
    </row>
    <row r="7" spans="1:10" s="104" customFormat="1" ht="15" customHeight="1">
      <c r="A7" s="66"/>
      <c r="B7" s="66"/>
      <c r="C7" s="66"/>
      <c r="D7" s="108" t="s">
        <v>212</v>
      </c>
      <c r="E7" s="108" t="s">
        <v>210</v>
      </c>
      <c r="F7" s="108">
        <v>241</v>
      </c>
    </row>
    <row r="8" spans="1:10" s="104" customFormat="1" ht="15" customHeight="1">
      <c r="A8" s="66"/>
      <c r="B8" s="66"/>
      <c r="C8" s="66"/>
      <c r="D8" s="108" t="s">
        <v>213</v>
      </c>
      <c r="E8" s="108" t="s">
        <v>210</v>
      </c>
      <c r="F8" s="108">
        <v>241</v>
      </c>
    </row>
    <row r="9" spans="1:10" s="104" customFormat="1" ht="15" customHeight="1">
      <c r="A9" s="66"/>
      <c r="B9" s="66"/>
      <c r="C9" s="66"/>
      <c r="D9" s="109" t="s">
        <v>214</v>
      </c>
      <c r="E9" s="109" t="s">
        <v>215</v>
      </c>
      <c r="F9" s="109">
        <v>241</v>
      </c>
    </row>
    <row r="10" spans="1:10" s="104" customFormat="1" ht="15" customHeight="1">
      <c r="A10" s="66"/>
      <c r="B10" s="66"/>
      <c r="C10" s="66"/>
      <c r="D10" s="109" t="s">
        <v>216</v>
      </c>
      <c r="E10" s="109" t="s">
        <v>215</v>
      </c>
      <c r="F10" s="109">
        <v>241</v>
      </c>
    </row>
    <row r="11" spans="1:10" s="104" customFormat="1" ht="15" customHeight="1">
      <c r="A11" s="66"/>
      <c r="B11" s="66"/>
      <c r="C11" s="66"/>
      <c r="D11" s="109" t="s">
        <v>217</v>
      </c>
      <c r="E11" s="109" t="s">
        <v>215</v>
      </c>
      <c r="F11" s="109">
        <v>241</v>
      </c>
    </row>
    <row r="12" spans="1:10" s="104" customFormat="1" ht="15" customHeight="1">
      <c r="A12" s="66"/>
      <c r="B12" s="66"/>
      <c r="C12" s="66"/>
      <c r="D12" s="109" t="s">
        <v>218</v>
      </c>
      <c r="E12" s="109" t="s">
        <v>215</v>
      </c>
      <c r="F12" s="109">
        <v>232</v>
      </c>
    </row>
    <row r="13" spans="1:10" s="104" customFormat="1" ht="15" customHeight="1">
      <c r="A13" s="66"/>
      <c r="B13" s="66"/>
      <c r="C13" s="66"/>
      <c r="D13" s="109" t="s">
        <v>219</v>
      </c>
      <c r="E13" s="109" t="s">
        <v>215</v>
      </c>
      <c r="F13" s="109">
        <v>324</v>
      </c>
    </row>
    <row r="14" spans="1:10" s="104" customFormat="1" ht="15" customHeight="1">
      <c r="A14" s="66"/>
      <c r="B14" s="66"/>
      <c r="C14" s="66"/>
      <c r="D14" s="109" t="s">
        <v>220</v>
      </c>
      <c r="E14" s="109" t="s">
        <v>215</v>
      </c>
      <c r="F14" s="109">
        <v>324</v>
      </c>
    </row>
    <row r="15" spans="1:10" s="104" customFormat="1" ht="15" customHeight="1">
      <c r="A15" s="66"/>
      <c r="B15" s="66"/>
      <c r="C15" s="66"/>
      <c r="D15" s="109" t="s">
        <v>221</v>
      </c>
      <c r="E15" s="109" t="s">
        <v>215</v>
      </c>
      <c r="F15" s="109">
        <v>305</v>
      </c>
    </row>
    <row r="16" spans="1:10" s="104" customFormat="1" ht="15" customHeight="1">
      <c r="A16" s="66"/>
      <c r="B16" s="66"/>
      <c r="C16" s="66"/>
      <c r="D16" s="109" t="s">
        <v>222</v>
      </c>
      <c r="E16" s="109" t="s">
        <v>215</v>
      </c>
      <c r="F16" s="109">
        <v>176</v>
      </c>
    </row>
    <row r="17" spans="1:13" s="104" customFormat="1" ht="15" customHeight="1">
      <c r="A17" s="66"/>
      <c r="B17" s="66"/>
      <c r="C17" s="66"/>
    </row>
    <row r="18" spans="1:13" s="104" customFormat="1" ht="15" customHeight="1">
      <c r="A18" s="66"/>
      <c r="B18" s="66"/>
      <c r="C18" s="66"/>
      <c r="D18" s="105"/>
      <c r="E18" s="105"/>
      <c r="F18" s="105"/>
      <c r="G18" s="105"/>
      <c r="H18" s="105"/>
      <c r="I18" s="105"/>
      <c r="J18" s="105"/>
    </row>
    <row r="19" spans="1:13" s="65" customFormat="1" ht="15" customHeight="1">
      <c r="A19" s="66"/>
      <c r="B19" s="66"/>
      <c r="C19" s="66" t="s">
        <v>0</v>
      </c>
      <c r="D19" s="67" t="s">
        <v>223</v>
      </c>
      <c r="E19" s="67"/>
      <c r="F19" s="67"/>
      <c r="G19" s="67"/>
      <c r="H19" s="67"/>
      <c r="I19" s="67"/>
      <c r="J19" s="67"/>
    </row>
    <row r="20" spans="1:13" ht="15" customHeight="1">
      <c r="D20" s="68" t="s">
        <v>48</v>
      </c>
      <c r="E20" s="68" t="s">
        <v>224</v>
      </c>
      <c r="F20" s="69" t="s">
        <v>225</v>
      </c>
      <c r="G20" s="69" t="s">
        <v>226</v>
      </c>
      <c r="H20" s="69" t="s">
        <v>227</v>
      </c>
      <c r="I20" s="68" t="s">
        <v>62</v>
      </c>
      <c r="J20" s="68" t="s">
        <v>228</v>
      </c>
      <c r="K20" s="68"/>
      <c r="L20" s="68"/>
      <c r="M20" s="68"/>
    </row>
    <row r="21" spans="1:13" ht="15" customHeight="1">
      <c r="D21" s="54" t="s">
        <v>190</v>
      </c>
      <c r="E21" s="54" t="s">
        <v>70</v>
      </c>
      <c r="F21" s="55">
        <f>F42</f>
        <v>5800000</v>
      </c>
      <c r="G21" s="55">
        <f>G42</f>
        <v>5800000</v>
      </c>
      <c r="H21" s="55">
        <f>H42</f>
        <v>5800000</v>
      </c>
      <c r="I21" s="54" t="s">
        <v>229</v>
      </c>
      <c r="J21" s="54" t="s">
        <v>230</v>
      </c>
    </row>
    <row r="22" spans="1:13" ht="15" customHeight="1">
      <c r="D22" s="54" t="s">
        <v>231</v>
      </c>
      <c r="E22" s="54" t="s">
        <v>73</v>
      </c>
      <c r="F22" s="55">
        <f>F38</f>
        <v>2870600</v>
      </c>
      <c r="G22" s="55">
        <f>G38</f>
        <v>3270600</v>
      </c>
      <c r="H22" s="55">
        <f>H38</f>
        <v>3670600</v>
      </c>
      <c r="I22" s="54" t="s">
        <v>229</v>
      </c>
      <c r="J22" s="54" t="s">
        <v>232</v>
      </c>
    </row>
    <row r="23" spans="1:13" ht="15" customHeight="1">
      <c r="D23" s="54" t="s">
        <v>233</v>
      </c>
      <c r="E23" s="54" t="s">
        <v>234</v>
      </c>
      <c r="F23" s="55">
        <f>F63</f>
        <v>1118090.1200000001</v>
      </c>
      <c r="G23" s="55">
        <f>G63</f>
        <v>1190170.1200000001</v>
      </c>
      <c r="H23" s="55">
        <f>H63</f>
        <v>1262250.1200000001</v>
      </c>
      <c r="I23" s="54" t="s">
        <v>229</v>
      </c>
      <c r="J23" s="54" t="s">
        <v>235</v>
      </c>
    </row>
    <row r="24" spans="1:13" ht="15" customHeight="1">
      <c r="D24" s="54" t="s">
        <v>1</v>
      </c>
      <c r="E24" s="54" t="s">
        <v>65</v>
      </c>
      <c r="F24" s="55">
        <f>SUM(F21:F23)</f>
        <v>9788690.120000001</v>
      </c>
      <c r="G24" s="55">
        <f>SUM(G21:G23)</f>
        <v>10260770.120000001</v>
      </c>
      <c r="H24" s="55">
        <f>SUM(H21:H23)</f>
        <v>10732850.120000001</v>
      </c>
      <c r="I24" s="54" t="s">
        <v>229</v>
      </c>
      <c r="J24" s="54" t="s">
        <v>236</v>
      </c>
    </row>
    <row r="25" spans="1:13" ht="15" customHeight="1">
      <c r="D25" s="56" t="s">
        <v>1</v>
      </c>
      <c r="E25" s="56" t="s">
        <v>237</v>
      </c>
      <c r="F25" s="57">
        <f>F24/10000</f>
        <v>978.86901200000011</v>
      </c>
      <c r="G25" s="57">
        <f>G24/10000</f>
        <v>1026.0770120000002</v>
      </c>
      <c r="H25" s="57">
        <f>H24/10000</f>
        <v>1073.2850120000001</v>
      </c>
      <c r="I25" s="56" t="s">
        <v>66</v>
      </c>
      <c r="J25" s="56" t="s">
        <v>238</v>
      </c>
    </row>
    <row r="27" spans="1:13" ht="15" customHeight="1">
      <c r="D27" s="58" t="s">
        <v>239</v>
      </c>
      <c r="E27" s="58" t="str">
        <f t="shared" ref="E27" si="0">"공사 기간 32개월(약 2년 10개월) 기준. 기존 모델의 산식과 비용 항목을 유지하면서 Low / Base / High를 세로형 Build-Up으로 재배치."</f>
        <v>공사 기간 32개월(약 2년 10개월) 기준. 기존 모델의 산식과 비용 항목을 유지하면서 Low / Base / High를 세로형 Build-Up으로 재배치.</v>
      </c>
      <c r="F27" s="58"/>
      <c r="G27" s="58"/>
      <c r="H27" s="58"/>
      <c r="I27" s="58"/>
      <c r="J27" s="58"/>
    </row>
    <row r="30" spans="1:13" s="65" customFormat="1" ht="15" customHeight="1">
      <c r="A30" s="66"/>
      <c r="B30" s="66"/>
      <c r="C30" s="66" t="s">
        <v>0</v>
      </c>
      <c r="D30" s="67" t="s">
        <v>240</v>
      </c>
      <c r="E30" s="67"/>
      <c r="F30" s="67"/>
      <c r="G30" s="67"/>
      <c r="H30" s="67"/>
      <c r="I30" s="67"/>
      <c r="J30" s="67"/>
    </row>
    <row r="31" spans="1:13" ht="15" customHeight="1">
      <c r="D31" s="68" t="s">
        <v>48</v>
      </c>
      <c r="E31" s="68" t="s">
        <v>224</v>
      </c>
      <c r="F31" s="69" t="s">
        <v>225</v>
      </c>
      <c r="G31" s="69" t="s">
        <v>226</v>
      </c>
      <c r="H31" s="69" t="s">
        <v>227</v>
      </c>
      <c r="I31" s="68" t="s">
        <v>62</v>
      </c>
      <c r="J31" s="68" t="s">
        <v>228</v>
      </c>
      <c r="K31" s="68"/>
      <c r="L31" s="68"/>
      <c r="M31" s="68"/>
    </row>
    <row r="32" spans="1:13" ht="15" customHeight="1">
      <c r="D32" s="54" t="s">
        <v>241</v>
      </c>
      <c r="E32" s="54" t="s">
        <v>242</v>
      </c>
      <c r="F32" s="59">
        <f>SUM(F5:F8)</f>
        <v>874</v>
      </c>
      <c r="G32" s="60">
        <f>F32</f>
        <v>874</v>
      </c>
      <c r="H32" s="60">
        <f>F32</f>
        <v>874</v>
      </c>
      <c r="I32" s="54" t="s">
        <v>208</v>
      </c>
      <c r="J32" s="54" t="s">
        <v>243</v>
      </c>
    </row>
    <row r="33" spans="1:13" ht="15" customHeight="1">
      <c r="D33" s="54" t="s">
        <v>244</v>
      </c>
      <c r="E33" s="54" t="s">
        <v>245</v>
      </c>
      <c r="F33" s="59">
        <f>SUM(F9:F16)</f>
        <v>2084</v>
      </c>
      <c r="G33" s="60">
        <f>F33</f>
        <v>2084</v>
      </c>
      <c r="H33" s="60">
        <f>G33</f>
        <v>2084</v>
      </c>
      <c r="I33" s="54" t="s">
        <v>208</v>
      </c>
      <c r="J33" s="54" t="s">
        <v>243</v>
      </c>
    </row>
    <row r="34" spans="1:13" ht="15" customHeight="1">
      <c r="D34" s="54" t="s">
        <v>246</v>
      </c>
      <c r="E34" s="54" t="s">
        <v>247</v>
      </c>
      <c r="F34" s="61">
        <v>900</v>
      </c>
      <c r="G34" s="61">
        <v>1000</v>
      </c>
      <c r="H34" s="61">
        <v>1100</v>
      </c>
      <c r="I34" s="54" t="s">
        <v>248</v>
      </c>
      <c r="J34" s="54" t="s">
        <v>249</v>
      </c>
    </row>
    <row r="35" spans="1:13" ht="15" customHeight="1">
      <c r="D35" s="54" t="s">
        <v>250</v>
      </c>
      <c r="E35" s="54" t="s">
        <v>251</v>
      </c>
      <c r="F35" s="61">
        <v>1000</v>
      </c>
      <c r="G35" s="61">
        <v>1150</v>
      </c>
      <c r="H35" s="61">
        <v>1300</v>
      </c>
      <c r="I35" s="54" t="s">
        <v>248</v>
      </c>
      <c r="J35" s="54" t="s">
        <v>249</v>
      </c>
    </row>
    <row r="36" spans="1:13" ht="15" customHeight="1">
      <c r="D36" s="54" t="s">
        <v>252</v>
      </c>
      <c r="E36" s="54" t="s">
        <v>253</v>
      </c>
      <c r="F36" s="55">
        <f t="shared" ref="F36:H37" si="1">F32*F34</f>
        <v>786600</v>
      </c>
      <c r="G36" s="55">
        <f t="shared" si="1"/>
        <v>874000</v>
      </c>
      <c r="H36" s="55">
        <f t="shared" si="1"/>
        <v>961400</v>
      </c>
      <c r="I36" s="54" t="s">
        <v>229</v>
      </c>
      <c r="J36" s="54" t="s">
        <v>254</v>
      </c>
    </row>
    <row r="37" spans="1:13" ht="15" customHeight="1">
      <c r="D37" s="54" t="s">
        <v>255</v>
      </c>
      <c r="E37" s="54" t="s">
        <v>256</v>
      </c>
      <c r="F37" s="55">
        <f t="shared" si="1"/>
        <v>2084000</v>
      </c>
      <c r="G37" s="55">
        <f t="shared" si="1"/>
        <v>2396600</v>
      </c>
      <c r="H37" s="55">
        <f t="shared" si="1"/>
        <v>2709200</v>
      </c>
      <c r="I37" s="54" t="s">
        <v>229</v>
      </c>
      <c r="J37" s="54" t="s">
        <v>254</v>
      </c>
    </row>
    <row r="38" spans="1:13" ht="15" customHeight="1">
      <c r="D38" s="54" t="s">
        <v>257</v>
      </c>
      <c r="E38" s="54" t="s">
        <v>258</v>
      </c>
      <c r="F38" s="55">
        <f>SUM(F36:F37)</f>
        <v>2870600</v>
      </c>
      <c r="G38" s="55">
        <f>SUM(G36:G37)</f>
        <v>3270600</v>
      </c>
      <c r="H38" s="55">
        <f>SUM(H36:H37)</f>
        <v>3670600</v>
      </c>
      <c r="I38" s="54" t="s">
        <v>229</v>
      </c>
      <c r="J38" s="54" t="s">
        <v>259</v>
      </c>
    </row>
    <row r="40" spans="1:13" s="65" customFormat="1" ht="15" customHeight="1">
      <c r="A40" s="66"/>
      <c r="B40" s="66"/>
      <c r="C40" s="66" t="s">
        <v>0</v>
      </c>
      <c r="D40" s="67" t="s">
        <v>260</v>
      </c>
      <c r="E40" s="67"/>
      <c r="F40" s="67"/>
      <c r="G40" s="67"/>
      <c r="H40" s="67"/>
      <c r="I40" s="67"/>
      <c r="J40" s="67"/>
    </row>
    <row r="41" spans="1:13" ht="15" customHeight="1">
      <c r="D41" s="68" t="s">
        <v>48</v>
      </c>
      <c r="E41" s="68" t="s">
        <v>224</v>
      </c>
      <c r="F41" s="69" t="s">
        <v>225</v>
      </c>
      <c r="G41" s="69" t="s">
        <v>226</v>
      </c>
      <c r="H41" s="69" t="s">
        <v>227</v>
      </c>
      <c r="I41" s="68" t="s">
        <v>62</v>
      </c>
      <c r="J41" s="68" t="s">
        <v>228</v>
      </c>
      <c r="K41" s="68"/>
      <c r="L41" s="68"/>
      <c r="M41" s="68"/>
    </row>
    <row r="42" spans="1:13" ht="15" customHeight="1">
      <c r="D42" s="54" t="s">
        <v>190</v>
      </c>
      <c r="E42" s="54" t="s">
        <v>230</v>
      </c>
      <c r="F42" s="61">
        <v>5800000</v>
      </c>
      <c r="G42" s="55">
        <f t="shared" ref="G42:H50" si="2">F42</f>
        <v>5800000</v>
      </c>
      <c r="H42" s="55">
        <f t="shared" si="2"/>
        <v>5800000</v>
      </c>
      <c r="I42" s="54" t="s">
        <v>229</v>
      </c>
      <c r="J42" s="54" t="s">
        <v>261</v>
      </c>
    </row>
    <row r="43" spans="1:13" ht="15" customHeight="1">
      <c r="D43" s="54" t="s">
        <v>262</v>
      </c>
      <c r="E43" s="54" t="s">
        <v>263</v>
      </c>
      <c r="F43" s="62">
        <v>0.03</v>
      </c>
      <c r="G43" s="63">
        <f t="shared" si="2"/>
        <v>0.03</v>
      </c>
      <c r="H43" s="63">
        <f t="shared" si="2"/>
        <v>0.03</v>
      </c>
      <c r="I43" s="54" t="s">
        <v>89</v>
      </c>
      <c r="J43" s="54" t="s">
        <v>264</v>
      </c>
    </row>
    <row r="44" spans="1:13" ht="15" customHeight="1">
      <c r="D44" s="54" t="s">
        <v>265</v>
      </c>
      <c r="E44" s="54" t="s">
        <v>266</v>
      </c>
      <c r="F44" s="62">
        <v>1.4999999999999999E-2</v>
      </c>
      <c r="G44" s="63">
        <f t="shared" si="2"/>
        <v>1.4999999999999999E-2</v>
      </c>
      <c r="H44" s="63">
        <f t="shared" si="2"/>
        <v>1.4999999999999999E-2</v>
      </c>
      <c r="I44" s="54" t="s">
        <v>89</v>
      </c>
      <c r="J44" s="54" t="s">
        <v>267</v>
      </c>
    </row>
    <row r="45" spans="1:13" ht="15" customHeight="1">
      <c r="D45" s="54" t="s">
        <v>268</v>
      </c>
      <c r="E45" s="54" t="s">
        <v>269</v>
      </c>
      <c r="F45" s="62">
        <v>4.4999999999999998E-2</v>
      </c>
      <c r="G45" s="63">
        <f t="shared" si="2"/>
        <v>4.4999999999999998E-2</v>
      </c>
      <c r="H45" s="63">
        <f t="shared" si="2"/>
        <v>4.4999999999999998E-2</v>
      </c>
      <c r="I45" s="54" t="s">
        <v>89</v>
      </c>
      <c r="J45" s="54" t="s">
        <v>270</v>
      </c>
    </row>
    <row r="46" spans="1:13" ht="15" customHeight="1">
      <c r="D46" s="54" t="s">
        <v>271</v>
      </c>
      <c r="E46" s="54" t="s">
        <v>272</v>
      </c>
      <c r="F46" s="61">
        <v>300000</v>
      </c>
      <c r="G46" s="55">
        <f t="shared" si="2"/>
        <v>300000</v>
      </c>
      <c r="H46" s="55">
        <f t="shared" si="2"/>
        <v>300000</v>
      </c>
      <c r="I46" s="54" t="s">
        <v>229</v>
      </c>
      <c r="J46" s="54" t="s">
        <v>273</v>
      </c>
    </row>
    <row r="47" spans="1:13" ht="15" customHeight="1">
      <c r="D47" s="54" t="s">
        <v>274</v>
      </c>
      <c r="E47" s="54" t="s">
        <v>275</v>
      </c>
      <c r="F47" s="62">
        <v>0.06</v>
      </c>
      <c r="G47" s="63">
        <f t="shared" si="2"/>
        <v>0.06</v>
      </c>
      <c r="H47" s="63">
        <f t="shared" si="2"/>
        <v>0.06</v>
      </c>
      <c r="I47" s="54" t="s">
        <v>89</v>
      </c>
      <c r="J47" s="54" t="s">
        <v>276</v>
      </c>
    </row>
    <row r="48" spans="1:13" ht="15" customHeight="1">
      <c r="D48" s="54" t="s">
        <v>277</v>
      </c>
      <c r="E48" s="54" t="s">
        <v>278</v>
      </c>
      <c r="F48" s="62">
        <v>4.5999999999999999E-2</v>
      </c>
      <c r="G48" s="63">
        <f t="shared" si="2"/>
        <v>4.5999999999999999E-2</v>
      </c>
      <c r="H48" s="63">
        <f t="shared" si="2"/>
        <v>4.5999999999999999E-2</v>
      </c>
      <c r="I48" s="54" t="s">
        <v>89</v>
      </c>
      <c r="J48" s="54" t="s">
        <v>279</v>
      </c>
    </row>
    <row r="49" spans="1:13" ht="15" customHeight="1">
      <c r="D49" s="54" t="s">
        <v>280</v>
      </c>
      <c r="E49" s="54" t="s">
        <v>234</v>
      </c>
      <c r="F49" s="62">
        <v>0.03</v>
      </c>
      <c r="G49" s="63">
        <f t="shared" si="2"/>
        <v>0.03</v>
      </c>
      <c r="H49" s="63">
        <f t="shared" si="2"/>
        <v>0.03</v>
      </c>
      <c r="I49" s="54" t="s">
        <v>89</v>
      </c>
      <c r="J49" s="54" t="s">
        <v>281</v>
      </c>
    </row>
    <row r="50" spans="1:13" ht="15" customHeight="1">
      <c r="D50" s="54" t="s">
        <v>282</v>
      </c>
      <c r="E50" s="54" t="s">
        <v>283</v>
      </c>
      <c r="F50" s="62">
        <v>0.05</v>
      </c>
      <c r="G50" s="63">
        <f t="shared" si="2"/>
        <v>0.05</v>
      </c>
      <c r="H50" s="63">
        <f t="shared" si="2"/>
        <v>0.05</v>
      </c>
      <c r="I50" s="54" t="s">
        <v>89</v>
      </c>
      <c r="J50" s="54" t="s">
        <v>284</v>
      </c>
    </row>
    <row r="52" spans="1:13" s="65" customFormat="1" ht="15" customHeight="1">
      <c r="A52" s="66"/>
      <c r="B52" s="66"/>
      <c r="C52" s="66" t="s">
        <v>0</v>
      </c>
      <c r="D52" s="67" t="s">
        <v>285</v>
      </c>
      <c r="E52" s="67"/>
      <c r="F52" s="67"/>
      <c r="G52" s="67"/>
      <c r="H52" s="67"/>
      <c r="I52" s="67"/>
      <c r="J52" s="67"/>
    </row>
    <row r="53" spans="1:13" ht="15" customHeight="1">
      <c r="D53" s="68" t="s">
        <v>48</v>
      </c>
      <c r="E53" s="68" t="s">
        <v>224</v>
      </c>
      <c r="F53" s="69" t="s">
        <v>225</v>
      </c>
      <c r="G53" s="69" t="s">
        <v>226</v>
      </c>
      <c r="H53" s="69" t="s">
        <v>227</v>
      </c>
      <c r="I53" s="68" t="s">
        <v>62</v>
      </c>
      <c r="J53" s="68" t="s">
        <v>228</v>
      </c>
      <c r="K53" s="68"/>
      <c r="L53" s="68"/>
      <c r="M53" s="68"/>
    </row>
    <row r="54" spans="1:13" ht="15" customHeight="1">
      <c r="D54" s="54" t="s">
        <v>286</v>
      </c>
      <c r="E54" s="54" t="s">
        <v>263</v>
      </c>
      <c r="F54" s="55">
        <f>F43*F38</f>
        <v>86118</v>
      </c>
      <c r="G54" s="55">
        <f>G43*G38</f>
        <v>98118</v>
      </c>
      <c r="H54" s="55">
        <f>H43*H38</f>
        <v>110118</v>
      </c>
      <c r="I54" s="54" t="s">
        <v>229</v>
      </c>
      <c r="J54" s="54" t="s">
        <v>287</v>
      </c>
    </row>
    <row r="55" spans="1:13" ht="15" customHeight="1">
      <c r="D55" s="54" t="s">
        <v>288</v>
      </c>
      <c r="E55" s="54" t="s">
        <v>266</v>
      </c>
      <c r="F55" s="55">
        <f>F44*F38</f>
        <v>43059</v>
      </c>
      <c r="G55" s="55">
        <f>G44*G38</f>
        <v>49059</v>
      </c>
      <c r="H55" s="55">
        <f>H44*H38</f>
        <v>55059</v>
      </c>
      <c r="I55" s="54" t="s">
        <v>229</v>
      </c>
      <c r="J55" s="54" t="s">
        <v>289</v>
      </c>
    </row>
    <row r="56" spans="1:13" ht="15" customHeight="1">
      <c r="D56" s="54" t="s">
        <v>290</v>
      </c>
      <c r="E56" s="54" t="s">
        <v>269</v>
      </c>
      <c r="F56" s="55">
        <f>F45*F38</f>
        <v>129177</v>
      </c>
      <c r="G56" s="55">
        <f>G45*G38</f>
        <v>147177</v>
      </c>
      <c r="H56" s="55">
        <f>H45*H38</f>
        <v>165177</v>
      </c>
      <c r="I56" s="54" t="s">
        <v>229</v>
      </c>
      <c r="J56" s="54" t="s">
        <v>291</v>
      </c>
    </row>
    <row r="57" spans="1:13" ht="15" customHeight="1">
      <c r="D57" s="54" t="s">
        <v>271</v>
      </c>
      <c r="E57" s="54" t="s">
        <v>292</v>
      </c>
      <c r="F57" s="55">
        <f>F46</f>
        <v>300000</v>
      </c>
      <c r="G57" s="55">
        <f>G46</f>
        <v>300000</v>
      </c>
      <c r="H57" s="55">
        <f>H46</f>
        <v>300000</v>
      </c>
      <c r="I57" s="54" t="s">
        <v>229</v>
      </c>
      <c r="J57" s="54" t="s">
        <v>293</v>
      </c>
    </row>
    <row r="58" spans="1:13" ht="15" customHeight="1">
      <c r="D58" s="54" t="s">
        <v>277</v>
      </c>
      <c r="E58" s="54" t="s">
        <v>278</v>
      </c>
      <c r="F58" s="55">
        <f>F48*F42</f>
        <v>266800</v>
      </c>
      <c r="G58" s="55">
        <f>G48*G42</f>
        <v>266800</v>
      </c>
      <c r="H58" s="55">
        <f>H48*H42</f>
        <v>266800</v>
      </c>
      <c r="I58" s="54" t="s">
        <v>229</v>
      </c>
      <c r="J58" s="54" t="s">
        <v>294</v>
      </c>
    </row>
    <row r="59" spans="1:13" ht="15" customHeight="1">
      <c r="D59" s="54" t="s">
        <v>280</v>
      </c>
      <c r="E59" s="54" t="s">
        <v>234</v>
      </c>
      <c r="F59" s="55">
        <f>F49*F38</f>
        <v>86118</v>
      </c>
      <c r="G59" s="55">
        <f>G49*G38</f>
        <v>98118</v>
      </c>
      <c r="H59" s="55">
        <f>H49*H38</f>
        <v>110118</v>
      </c>
      <c r="I59" s="54" t="s">
        <v>229</v>
      </c>
      <c r="J59" s="54" t="s">
        <v>295</v>
      </c>
    </row>
    <row r="60" spans="1:13" ht="15" customHeight="1">
      <c r="D60" s="54" t="s">
        <v>282</v>
      </c>
      <c r="E60" s="54" t="s">
        <v>283</v>
      </c>
      <c r="F60" s="55">
        <f>F50*F38</f>
        <v>143530</v>
      </c>
      <c r="G60" s="55">
        <f>G50*G38</f>
        <v>163530</v>
      </c>
      <c r="H60" s="55">
        <f>H50*H38</f>
        <v>183530</v>
      </c>
      <c r="I60" s="54" t="s">
        <v>229</v>
      </c>
      <c r="J60" s="54" t="s">
        <v>296</v>
      </c>
    </row>
    <row r="61" spans="1:13" ht="15" customHeight="1">
      <c r="D61" s="54" t="s">
        <v>297</v>
      </c>
      <c r="E61" s="54" t="s">
        <v>298</v>
      </c>
      <c r="F61" s="55">
        <f>SUM(F54:F60)</f>
        <v>1054802</v>
      </c>
      <c r="G61" s="55">
        <f>SUM(G54:G60)</f>
        <v>1122802</v>
      </c>
      <c r="H61" s="55">
        <f>SUM(H54:H60)</f>
        <v>1190802</v>
      </c>
      <c r="I61" s="54" t="s">
        <v>229</v>
      </c>
      <c r="J61" s="54" t="s">
        <v>299</v>
      </c>
    </row>
    <row r="62" spans="1:13" ht="15" customHeight="1">
      <c r="D62" s="54" t="s">
        <v>274</v>
      </c>
      <c r="E62" s="54" t="s">
        <v>275</v>
      </c>
      <c r="F62" s="55">
        <f>F47*F61</f>
        <v>63288.119999999995</v>
      </c>
      <c r="G62" s="55">
        <f>G47*G61</f>
        <v>67368.12</v>
      </c>
      <c r="H62" s="55">
        <f>H47*H61</f>
        <v>71448.12</v>
      </c>
      <c r="I62" s="54" t="s">
        <v>229</v>
      </c>
      <c r="J62" s="54" t="s">
        <v>300</v>
      </c>
    </row>
    <row r="63" spans="1:13" ht="15" customHeight="1">
      <c r="D63" s="54" t="s">
        <v>301</v>
      </c>
      <c r="E63" s="54" t="s">
        <v>302</v>
      </c>
      <c r="F63" s="55">
        <f>SUM(F61:F62)</f>
        <v>1118090.1200000001</v>
      </c>
      <c r="G63" s="55">
        <f>SUM(G61:G62)</f>
        <v>1190170.1200000001</v>
      </c>
      <c r="H63" s="55">
        <f>SUM(H61:H62)</f>
        <v>1262250.1200000001</v>
      </c>
      <c r="I63" s="54" t="s">
        <v>229</v>
      </c>
      <c r="J63" s="54" t="s">
        <v>303</v>
      </c>
    </row>
    <row r="65" spans="1:13" s="65" customFormat="1" ht="15" customHeight="1">
      <c r="A65" s="66"/>
      <c r="B65" s="66"/>
      <c r="C65" s="66" t="s">
        <v>0</v>
      </c>
      <c r="D65" s="67" t="s">
        <v>304</v>
      </c>
      <c r="E65" s="67"/>
      <c r="F65" s="67"/>
      <c r="G65" s="67"/>
      <c r="H65" s="67"/>
      <c r="I65" s="67"/>
      <c r="J65" s="67"/>
    </row>
    <row r="66" spans="1:13" ht="15" customHeight="1">
      <c r="D66" s="68" t="s">
        <v>48</v>
      </c>
      <c r="E66" s="68" t="s">
        <v>224</v>
      </c>
      <c r="F66" s="69" t="s">
        <v>225</v>
      </c>
      <c r="G66" s="69" t="s">
        <v>226</v>
      </c>
      <c r="H66" s="69" t="s">
        <v>227</v>
      </c>
      <c r="I66" s="68" t="s">
        <v>62</v>
      </c>
      <c r="J66" s="68" t="s">
        <v>228</v>
      </c>
      <c r="K66" s="68"/>
      <c r="L66" s="68"/>
      <c r="M66" s="68"/>
    </row>
    <row r="67" spans="1:13" ht="15" customHeight="1">
      <c r="D67" s="54" t="s">
        <v>246</v>
      </c>
      <c r="E67" s="54" t="s">
        <v>247</v>
      </c>
      <c r="F67" s="55">
        <f t="shared" ref="F67:H68" si="3">F34</f>
        <v>900</v>
      </c>
      <c r="G67" s="55">
        <f t="shared" si="3"/>
        <v>1000</v>
      </c>
      <c r="H67" s="55">
        <f t="shared" si="3"/>
        <v>1100</v>
      </c>
      <c r="I67" s="54" t="s">
        <v>248</v>
      </c>
      <c r="J67" s="64" t="s">
        <v>305</v>
      </c>
    </row>
    <row r="68" spans="1:13" ht="15" customHeight="1">
      <c r="D68" s="54" t="s">
        <v>250</v>
      </c>
      <c r="E68" s="54" t="s">
        <v>251</v>
      </c>
      <c r="F68" s="55">
        <f t="shared" si="3"/>
        <v>1000</v>
      </c>
      <c r="G68" s="55">
        <f t="shared" si="3"/>
        <v>1150</v>
      </c>
      <c r="H68" s="55">
        <f t="shared" si="3"/>
        <v>1300</v>
      </c>
      <c r="I68" s="54" t="s">
        <v>248</v>
      </c>
      <c r="J68" s="64" t="s">
        <v>306</v>
      </c>
    </row>
    <row r="70" spans="1:13" ht="15" customHeight="1">
      <c r="D70" s="58" t="s">
        <v>307</v>
      </c>
      <c r="E70" s="58" t="s">
        <v>308</v>
      </c>
      <c r="F70" s="58"/>
      <c r="G70" s="58"/>
      <c r="H70" s="58"/>
      <c r="I70" s="58"/>
      <c r="J70" s="58"/>
    </row>
  </sheetData>
  <phoneticPr fontId="2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 tint="0.89992980742820516"/>
  </sheetPr>
  <dimension ref="A1:K62"/>
  <sheetViews>
    <sheetView showGridLines="0" zoomScale="55" zoomScaleNormal="55" workbookViewId="0"/>
  </sheetViews>
  <sheetFormatPr defaultColWidth="25.69921875" defaultRowHeight="17.399999999999999"/>
  <cols>
    <col min="1" max="3" width="1.69921875" style="5" customWidth="1"/>
    <col min="4" max="16384" width="25.69921875" style="5"/>
  </cols>
  <sheetData>
    <row r="1" spans="1:10" s="81" customFormat="1" ht="18" customHeight="1">
      <c r="A1" s="4"/>
      <c r="B1" s="4"/>
      <c r="C1" s="6" t="s">
        <v>0</v>
      </c>
      <c r="D1" s="14" t="s">
        <v>309</v>
      </c>
      <c r="E1" s="14"/>
      <c r="F1" s="14"/>
      <c r="G1" s="14"/>
      <c r="H1" s="14"/>
      <c r="I1" s="14"/>
      <c r="J1" s="14"/>
    </row>
    <row r="2" spans="1:10" s="147" customFormat="1" ht="15" customHeight="1">
      <c r="A2" s="4"/>
      <c r="B2" s="4"/>
      <c r="C2" s="4"/>
      <c r="D2" s="146" t="s">
        <v>310</v>
      </c>
      <c r="E2" s="146"/>
      <c r="F2" s="146"/>
      <c r="G2" s="146"/>
      <c r="H2" s="146"/>
      <c r="I2" s="146"/>
      <c r="J2" s="146"/>
    </row>
    <row r="3" spans="1:10" ht="15" customHeight="1">
      <c r="A3" s="4"/>
      <c r="B3" s="4"/>
      <c r="C3" s="4"/>
      <c r="D3" s="151" t="s">
        <v>311</v>
      </c>
      <c r="E3" s="4"/>
      <c r="F3" s="4"/>
      <c r="G3" s="4"/>
      <c r="H3" s="4"/>
      <c r="I3" s="4"/>
      <c r="J3" s="4"/>
    </row>
    <row r="4" spans="1:10" ht="15" customHeight="1">
      <c r="A4" s="4"/>
      <c r="B4" s="4"/>
      <c r="C4" s="4"/>
      <c r="E4" s="4"/>
      <c r="F4" s="4"/>
      <c r="G4" s="4"/>
      <c r="H4" s="4"/>
      <c r="I4" s="4"/>
      <c r="J4" s="4"/>
    </row>
    <row r="5" spans="1:10" ht="15" customHeight="1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ht="15" customHeight="1">
      <c r="A6" s="4"/>
      <c r="B6" s="4"/>
      <c r="C6" s="4"/>
      <c r="D6" s="150" t="s">
        <v>312</v>
      </c>
      <c r="E6" s="150" t="s">
        <v>313</v>
      </c>
      <c r="F6" s="150" t="s">
        <v>314</v>
      </c>
      <c r="G6" s="154" t="s">
        <v>315</v>
      </c>
      <c r="H6" s="4"/>
      <c r="I6" s="4"/>
      <c r="J6" s="4"/>
    </row>
    <row r="7" spans="1:10" ht="15" customHeight="1">
      <c r="A7" s="4"/>
      <c r="B7" s="4"/>
      <c r="C7" s="4"/>
      <c r="D7" s="149">
        <v>0.06</v>
      </c>
      <c r="E7" s="148" t="s">
        <v>316</v>
      </c>
      <c r="F7" s="148">
        <v>1114</v>
      </c>
      <c r="G7" s="153">
        <f>F7/$E$22*10000</f>
        <v>3769.881556683587</v>
      </c>
      <c r="H7" s="4"/>
      <c r="I7" s="4"/>
      <c r="J7" s="4"/>
    </row>
    <row r="8" spans="1:10" ht="15" customHeight="1">
      <c r="A8" s="4"/>
      <c r="B8" s="4"/>
      <c r="C8" s="4"/>
      <c r="D8" s="149">
        <v>7.0000000000000007E-2</v>
      </c>
      <c r="E8" s="148" t="s">
        <v>316</v>
      </c>
      <c r="F8" s="148">
        <v>988</v>
      </c>
      <c r="G8" s="153">
        <f t="shared" ref="G8:G11" si="0">F8/$E$22*10000</f>
        <v>3343.4856175972927</v>
      </c>
      <c r="H8" s="4"/>
      <c r="I8" s="4"/>
      <c r="J8" s="4"/>
    </row>
    <row r="9" spans="1:10" ht="15" customHeight="1">
      <c r="A9" s="4"/>
      <c r="B9" s="4"/>
      <c r="C9" s="4"/>
      <c r="D9" s="149">
        <v>0.08</v>
      </c>
      <c r="E9" s="148" t="s">
        <v>316</v>
      </c>
      <c r="F9" s="148">
        <v>878</v>
      </c>
      <c r="G9" s="153">
        <f t="shared" si="0"/>
        <v>2971.235194585448</v>
      </c>
      <c r="H9" s="4"/>
      <c r="I9" s="4"/>
      <c r="J9" s="4"/>
    </row>
    <row r="10" spans="1:10" ht="15" customHeight="1">
      <c r="A10" s="4"/>
      <c r="B10" s="4"/>
      <c r="C10" s="4"/>
      <c r="D10" s="149">
        <v>0.09</v>
      </c>
      <c r="E10" s="148" t="s">
        <v>316</v>
      </c>
      <c r="F10" s="148">
        <v>780</v>
      </c>
      <c r="G10" s="153">
        <f t="shared" si="0"/>
        <v>2639.5939086294416</v>
      </c>
      <c r="H10" s="4"/>
      <c r="I10" s="4"/>
      <c r="J10" s="4"/>
    </row>
    <row r="11" spans="1:10" ht="15" customHeight="1">
      <c r="A11" s="4"/>
      <c r="B11" s="4"/>
      <c r="C11" s="4"/>
      <c r="D11" s="149">
        <v>0.1</v>
      </c>
      <c r="E11" s="148" t="s">
        <v>316</v>
      </c>
      <c r="F11" s="148">
        <v>695</v>
      </c>
      <c r="G11" s="153">
        <f t="shared" si="0"/>
        <v>2351.9458544839254</v>
      </c>
      <c r="H11" s="4"/>
      <c r="I11" s="4"/>
      <c r="J11" s="4"/>
    </row>
    <row r="12" spans="1:10" ht="15" customHeight="1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ht="15" customHeight="1">
      <c r="A13" s="4"/>
      <c r="B13" s="4"/>
      <c r="C13" s="4"/>
      <c r="D13" s="92" t="s">
        <v>317</v>
      </c>
      <c r="E13" s="4"/>
      <c r="F13" s="4"/>
      <c r="G13" s="4"/>
      <c r="H13" s="4"/>
      <c r="I13" s="4"/>
      <c r="J13" s="4"/>
    </row>
    <row r="14" spans="1:10" ht="15" customHeight="1">
      <c r="A14" s="4"/>
      <c r="B14" s="4"/>
      <c r="C14" s="4"/>
      <c r="D14" s="97" t="s">
        <v>318</v>
      </c>
      <c r="E14" s="98"/>
      <c r="F14" s="79">
        <f>AVERAGE(J30:J45,J47)</f>
        <v>10019.685986039762</v>
      </c>
      <c r="G14" s="4"/>
      <c r="H14" s="4"/>
      <c r="I14" s="4"/>
      <c r="J14" s="4"/>
    </row>
    <row r="15" spans="1:10" ht="15" customHeight="1">
      <c r="A15" s="4"/>
      <c r="B15" s="4"/>
      <c r="C15" s="4"/>
      <c r="D15" s="97" t="s">
        <v>319</v>
      </c>
      <c r="E15" s="98"/>
      <c r="F15" s="79">
        <f>AVERAGE(J30:J36,J38,J40:J44,J47)</f>
        <v>7899.2489411081979</v>
      </c>
      <c r="G15" s="4"/>
      <c r="H15" s="4"/>
      <c r="I15" s="4"/>
      <c r="J15" s="4"/>
    </row>
    <row r="16" spans="1:10" ht="15" customHeight="1">
      <c r="A16" s="4"/>
      <c r="B16" s="4"/>
      <c r="C16" s="4"/>
      <c r="D16" s="97" t="s">
        <v>320</v>
      </c>
      <c r="E16" s="98"/>
      <c r="F16" s="79">
        <f>MEDIAN(J30:J45,J47)</f>
        <v>8963.9639639639645</v>
      </c>
      <c r="G16" s="4"/>
      <c r="H16" s="4"/>
      <c r="I16" s="4"/>
      <c r="J16" s="4"/>
    </row>
    <row r="17" spans="1:11" ht="15" customHeight="1">
      <c r="A17" s="4"/>
      <c r="B17" s="4"/>
      <c r="C17" s="4"/>
      <c r="D17" s="97" t="s">
        <v>321</v>
      </c>
      <c r="E17" s="98"/>
      <c r="F17" s="79">
        <f>MEDIAN(J30:J36,J38,J40:J44,J47)</f>
        <v>7605.7615553430005</v>
      </c>
      <c r="G17" s="4"/>
      <c r="H17" s="4"/>
      <c r="I17" s="4"/>
      <c r="J17" s="4"/>
    </row>
    <row r="18" spans="1:11" ht="15" customHeight="1">
      <c r="A18" s="4"/>
      <c r="B18" s="4"/>
      <c r="D18" s="4"/>
      <c r="E18" s="4"/>
      <c r="F18" s="4"/>
      <c r="G18" s="4"/>
      <c r="H18" s="4"/>
      <c r="I18" s="4"/>
      <c r="J18" s="4"/>
    </row>
    <row r="19" spans="1:11" s="82" customFormat="1" ht="15" customHeight="1">
      <c r="A19" s="4"/>
      <c r="B19" s="4"/>
      <c r="C19" s="4" t="s">
        <v>0</v>
      </c>
      <c r="D19" s="145" t="s">
        <v>322</v>
      </c>
      <c r="E19" s="80"/>
      <c r="F19" s="80"/>
      <c r="G19" s="80"/>
      <c r="H19" s="80"/>
      <c r="I19" s="80"/>
      <c r="J19" s="80"/>
    </row>
    <row r="20" spans="1:11" s="147" customFormat="1" ht="15" customHeight="1">
      <c r="A20" s="4"/>
      <c r="B20" s="4"/>
      <c r="C20" s="4"/>
      <c r="D20" s="146" t="s">
        <v>317</v>
      </c>
      <c r="E20" s="146"/>
      <c r="F20" s="146"/>
      <c r="G20" s="146"/>
      <c r="H20" s="146"/>
      <c r="I20" s="146"/>
      <c r="J20" s="146"/>
    </row>
    <row r="21" spans="1:11" ht="15" customHeight="1">
      <c r="A21" s="4"/>
      <c r="B21" s="4"/>
      <c r="C21" s="4"/>
      <c r="E21" s="4"/>
      <c r="F21" s="4"/>
      <c r="G21" s="4"/>
      <c r="H21" s="4"/>
      <c r="I21" s="4"/>
      <c r="J21" s="4"/>
    </row>
    <row r="22" spans="1:11" ht="15" customHeight="1">
      <c r="A22" s="4"/>
      <c r="B22" s="4"/>
      <c r="C22" s="4"/>
      <c r="D22" s="91" t="s">
        <v>323</v>
      </c>
      <c r="E22" s="91">
        <v>2955</v>
      </c>
      <c r="F22" s="4"/>
      <c r="G22" s="4"/>
      <c r="H22" s="4"/>
      <c r="I22" s="4"/>
      <c r="J22" s="4"/>
    </row>
    <row r="23" spans="1:11" ht="15" customHeight="1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1" ht="15" customHeight="1">
      <c r="A24" s="4"/>
      <c r="B24" s="4"/>
      <c r="C24" s="4"/>
      <c r="D24" s="92" t="s">
        <v>324</v>
      </c>
      <c r="E24" s="4"/>
      <c r="F24" s="4"/>
      <c r="G24" s="92" t="s">
        <v>325</v>
      </c>
      <c r="H24" s="4"/>
      <c r="I24" s="4"/>
      <c r="J24" s="92" t="s">
        <v>326</v>
      </c>
    </row>
    <row r="25" spans="1:11" ht="15" customHeight="1">
      <c r="A25" s="4"/>
      <c r="B25" s="4"/>
      <c r="C25" s="4"/>
      <c r="D25" s="93" t="s">
        <v>327</v>
      </c>
      <c r="E25" s="93">
        <f>J47</f>
        <v>3640</v>
      </c>
      <c r="F25" s="4"/>
      <c r="G25" s="93" t="s">
        <v>327</v>
      </c>
      <c r="H25" s="96">
        <f>F15</f>
        <v>7899.2489411081979</v>
      </c>
      <c r="I25" s="4"/>
      <c r="J25" s="93" t="s">
        <v>327</v>
      </c>
      <c r="K25" s="95">
        <f>F17</f>
        <v>7605.7615553430005</v>
      </c>
    </row>
    <row r="26" spans="1:11" ht="15" customHeight="1">
      <c r="A26" s="4"/>
      <c r="B26" s="4"/>
      <c r="C26" s="4"/>
      <c r="D26" s="93"/>
      <c r="E26" s="93">
        <f>E25*E22/10000</f>
        <v>1075.6199999999999</v>
      </c>
      <c r="F26" s="4"/>
      <c r="G26" s="93"/>
      <c r="H26" s="93">
        <f>E22*H25/10000</f>
        <v>2334.2280620974725</v>
      </c>
      <c r="I26" s="4"/>
      <c r="J26" s="93"/>
      <c r="K26" s="94">
        <f>E22*K25</f>
        <v>22475025.396038566</v>
      </c>
    </row>
    <row r="27" spans="1:11" ht="15" customHeight="1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1" s="81" customFormat="1" ht="18" customHeight="1">
      <c r="A28" s="4"/>
      <c r="B28" s="4"/>
      <c r="C28" s="6" t="s">
        <v>0</v>
      </c>
      <c r="D28" s="14" t="s">
        <v>328</v>
      </c>
      <c r="E28" s="14"/>
      <c r="F28" s="14"/>
      <c r="G28" s="14"/>
      <c r="H28" s="14"/>
      <c r="I28" s="14"/>
      <c r="J28" s="14"/>
    </row>
    <row r="29" spans="1:11" ht="18" customHeight="1">
      <c r="A29" s="4"/>
      <c r="B29" s="4"/>
      <c r="C29" s="4"/>
      <c r="D29" s="83" t="s">
        <v>329</v>
      </c>
      <c r="E29" s="83" t="s">
        <v>330</v>
      </c>
      <c r="F29" s="83" t="s">
        <v>331</v>
      </c>
      <c r="G29" s="83" t="s">
        <v>323</v>
      </c>
      <c r="H29" s="83" t="s">
        <v>332</v>
      </c>
      <c r="I29" s="83" t="s">
        <v>333</v>
      </c>
      <c r="J29" s="83" t="s">
        <v>334</v>
      </c>
      <c r="K29" s="83" t="s">
        <v>335</v>
      </c>
    </row>
    <row r="30" spans="1:11" ht="15" customHeight="1">
      <c r="A30" s="4"/>
      <c r="B30" s="4"/>
      <c r="C30" s="4"/>
      <c r="D30" s="10">
        <v>2026.07</v>
      </c>
      <c r="E30" s="7" t="s">
        <v>336</v>
      </c>
      <c r="F30" s="9">
        <v>127</v>
      </c>
      <c r="G30" s="9">
        <v>247.2</v>
      </c>
      <c r="H30" s="7" t="s">
        <v>337</v>
      </c>
      <c r="I30" s="11" t="s">
        <v>338</v>
      </c>
      <c r="J30" s="8">
        <f>F30*10000/G30</f>
        <v>5137.5404530744336</v>
      </c>
    </row>
    <row r="31" spans="1:11" ht="15" customHeight="1">
      <c r="A31" s="4"/>
      <c r="B31" s="4"/>
      <c r="C31" s="4"/>
      <c r="D31" s="10">
        <v>2026.07</v>
      </c>
      <c r="E31" s="7" t="s">
        <v>339</v>
      </c>
      <c r="F31" s="9">
        <v>50</v>
      </c>
      <c r="G31" s="9">
        <v>39.9</v>
      </c>
      <c r="H31" s="7" t="s">
        <v>340</v>
      </c>
      <c r="I31" s="11" t="s">
        <v>338</v>
      </c>
      <c r="J31" s="8">
        <f t="shared" ref="J31:J43" si="1">F31*10000/G31</f>
        <v>12531.328320802006</v>
      </c>
    </row>
    <row r="32" spans="1:11" ht="15" customHeight="1">
      <c r="A32" s="4"/>
      <c r="B32" s="4"/>
      <c r="C32" s="4"/>
      <c r="D32" s="10">
        <v>2026.06</v>
      </c>
      <c r="E32" s="7" t="s">
        <v>341</v>
      </c>
      <c r="F32" s="9">
        <v>385</v>
      </c>
      <c r="G32" s="9">
        <v>610.29999999999995</v>
      </c>
      <c r="H32" s="7" t="s">
        <v>342</v>
      </c>
      <c r="I32" s="11" t="s">
        <v>338</v>
      </c>
      <c r="J32" s="8">
        <f t="shared" si="1"/>
        <v>6308.3729313452404</v>
      </c>
    </row>
    <row r="33" spans="1:11" ht="15" customHeight="1">
      <c r="A33" s="4"/>
      <c r="B33" s="4"/>
      <c r="C33" s="4"/>
      <c r="D33" s="10">
        <v>2026.06</v>
      </c>
      <c r="E33" s="7" t="s">
        <v>343</v>
      </c>
      <c r="F33" s="9">
        <v>108</v>
      </c>
      <c r="G33" s="9">
        <v>178</v>
      </c>
      <c r="H33" s="7" t="s">
        <v>340</v>
      </c>
      <c r="I33" s="11" t="s">
        <v>338</v>
      </c>
      <c r="J33" s="8">
        <f t="shared" si="1"/>
        <v>6067.4157303370785</v>
      </c>
    </row>
    <row r="34" spans="1:11" ht="15" customHeight="1">
      <c r="A34" s="4"/>
      <c r="B34" s="4"/>
      <c r="C34" s="4"/>
      <c r="D34" s="10">
        <v>2026.06</v>
      </c>
      <c r="E34" s="7" t="s">
        <v>344</v>
      </c>
      <c r="F34" s="9">
        <v>95</v>
      </c>
      <c r="G34" s="9">
        <v>185.5</v>
      </c>
      <c r="H34" s="7" t="s">
        <v>340</v>
      </c>
      <c r="I34" s="11" t="s">
        <v>338</v>
      </c>
      <c r="J34" s="8">
        <f t="shared" si="1"/>
        <v>5121.2938005390833</v>
      </c>
    </row>
    <row r="35" spans="1:11" ht="15" customHeight="1">
      <c r="A35" s="4"/>
      <c r="B35" s="4"/>
      <c r="C35" s="4"/>
      <c r="D35" s="10">
        <v>2026.06</v>
      </c>
      <c r="E35" s="7" t="s">
        <v>345</v>
      </c>
      <c r="F35" s="9">
        <v>49.9</v>
      </c>
      <c r="G35" s="9">
        <v>112.6</v>
      </c>
      <c r="H35" s="7" t="s">
        <v>337</v>
      </c>
      <c r="I35" s="11" t="s">
        <v>338</v>
      </c>
      <c r="J35" s="8">
        <f t="shared" si="1"/>
        <v>4431.6163410301961</v>
      </c>
    </row>
    <row r="36" spans="1:11" ht="15" customHeight="1">
      <c r="A36" s="4"/>
      <c r="B36" s="4"/>
      <c r="C36" s="4"/>
      <c r="D36" s="10">
        <v>2026.06</v>
      </c>
      <c r="E36" s="7" t="s">
        <v>346</v>
      </c>
      <c r="F36" s="9">
        <v>34</v>
      </c>
      <c r="G36" s="9">
        <v>35.299999999999997</v>
      </c>
      <c r="H36" s="7" t="s">
        <v>340</v>
      </c>
      <c r="I36" s="11" t="s">
        <v>338</v>
      </c>
      <c r="J36" s="8">
        <f t="shared" si="1"/>
        <v>9631.728045325779</v>
      </c>
    </row>
    <row r="37" spans="1:11" ht="15" customHeight="1">
      <c r="A37" s="4"/>
      <c r="B37" s="4"/>
      <c r="C37" s="4"/>
      <c r="D37" s="10">
        <v>2026.06</v>
      </c>
      <c r="E37" s="7" t="s">
        <v>347</v>
      </c>
      <c r="F37" s="9">
        <v>51.3</v>
      </c>
      <c r="G37" s="9">
        <v>35.5</v>
      </c>
      <c r="H37" s="7" t="s">
        <v>340</v>
      </c>
      <c r="I37" s="11" t="s">
        <v>338</v>
      </c>
      <c r="J37" s="78">
        <f>F37*10000/G37</f>
        <v>14450.704225352112</v>
      </c>
    </row>
    <row r="38" spans="1:11" ht="15" customHeight="1">
      <c r="A38" s="4"/>
      <c r="B38" s="4"/>
      <c r="C38" s="4"/>
      <c r="D38" s="10">
        <v>2026.03</v>
      </c>
      <c r="E38" s="7" t="s">
        <v>347</v>
      </c>
      <c r="F38" s="9">
        <v>149</v>
      </c>
      <c r="G38" s="9">
        <v>150.4</v>
      </c>
      <c r="H38" s="7" t="s">
        <v>340</v>
      </c>
      <c r="I38" s="11" t="s">
        <v>338</v>
      </c>
      <c r="J38" s="8">
        <f t="shared" si="1"/>
        <v>9906.9148936170204</v>
      </c>
    </row>
    <row r="39" spans="1:11" ht="15" customHeight="1">
      <c r="A39" s="4"/>
      <c r="B39" s="4"/>
      <c r="C39" s="4"/>
      <c r="D39" s="10">
        <v>2026.03</v>
      </c>
      <c r="E39" s="7" t="s">
        <v>347</v>
      </c>
      <c r="F39" s="9">
        <v>123</v>
      </c>
      <c r="G39" s="9">
        <v>75</v>
      </c>
      <c r="H39" s="7" t="s">
        <v>337</v>
      </c>
      <c r="I39" s="11" t="s">
        <v>338</v>
      </c>
      <c r="J39" s="78">
        <f>F39*10000/G39</f>
        <v>16400</v>
      </c>
    </row>
    <row r="40" spans="1:11" ht="15" customHeight="1">
      <c r="A40" s="4"/>
      <c r="B40" s="4"/>
      <c r="C40" s="4"/>
      <c r="D40" s="10">
        <v>2026.03</v>
      </c>
      <c r="E40" s="7" t="s">
        <v>345</v>
      </c>
      <c r="F40" s="9">
        <v>73</v>
      </c>
      <c r="G40" s="9">
        <v>95.7</v>
      </c>
      <c r="H40" s="7" t="s">
        <v>340</v>
      </c>
      <c r="I40" s="11" t="s">
        <v>338</v>
      </c>
      <c r="J40" s="8">
        <f t="shared" si="1"/>
        <v>7628.0041797283175</v>
      </c>
    </row>
    <row r="41" spans="1:11" ht="15" customHeight="1">
      <c r="A41" s="4"/>
      <c r="B41" s="4"/>
      <c r="C41" s="4"/>
      <c r="D41" s="10">
        <v>2026.03</v>
      </c>
      <c r="E41" s="7" t="s">
        <v>348</v>
      </c>
      <c r="F41" s="9">
        <v>59.7</v>
      </c>
      <c r="G41" s="9">
        <v>66.599999999999994</v>
      </c>
      <c r="H41" s="7" t="s">
        <v>340</v>
      </c>
      <c r="I41" s="11" t="s">
        <v>338</v>
      </c>
      <c r="J41" s="8">
        <f t="shared" si="1"/>
        <v>8963.9639639639645</v>
      </c>
    </row>
    <row r="42" spans="1:11" ht="15" customHeight="1">
      <c r="A42" s="4"/>
      <c r="B42" s="4"/>
      <c r="C42" s="4"/>
      <c r="D42" s="10">
        <v>2026.02</v>
      </c>
      <c r="E42" s="7" t="s">
        <v>347</v>
      </c>
      <c r="F42" s="9">
        <v>71</v>
      </c>
      <c r="G42" s="9">
        <v>58.2</v>
      </c>
      <c r="H42" s="7" t="s">
        <v>337</v>
      </c>
      <c r="I42" s="11" t="s">
        <v>338</v>
      </c>
      <c r="J42" s="8">
        <f t="shared" si="1"/>
        <v>12199.312714776632</v>
      </c>
    </row>
    <row r="43" spans="1:11" ht="15" customHeight="1">
      <c r="A43" s="4"/>
      <c r="B43" s="4"/>
      <c r="C43" s="4"/>
      <c r="D43" s="10">
        <v>2026.02</v>
      </c>
      <c r="E43" s="7" t="s">
        <v>347</v>
      </c>
      <c r="F43" s="9">
        <v>68.099999999999994</v>
      </c>
      <c r="G43" s="9">
        <v>89.8</v>
      </c>
      <c r="H43" s="7" t="s">
        <v>337</v>
      </c>
      <c r="I43" s="11" t="s">
        <v>338</v>
      </c>
      <c r="J43" s="8">
        <f t="shared" si="1"/>
        <v>7583.5189309576836</v>
      </c>
    </row>
    <row r="44" spans="1:11" ht="15" customHeight="1">
      <c r="A44" s="4"/>
      <c r="B44" s="4"/>
      <c r="C44" s="4"/>
      <c r="D44" s="10">
        <v>2026.02</v>
      </c>
      <c r="E44" s="7" t="s">
        <v>347</v>
      </c>
      <c r="F44" s="9">
        <v>66</v>
      </c>
      <c r="G44" s="9">
        <v>57.7</v>
      </c>
      <c r="H44" s="7" t="s">
        <v>340</v>
      </c>
      <c r="I44" s="11" t="s">
        <v>338</v>
      </c>
      <c r="J44" s="8">
        <f>F44*10000/G44</f>
        <v>11438.474870017331</v>
      </c>
    </row>
    <row r="45" spans="1:11" ht="15" customHeight="1">
      <c r="A45" s="4"/>
      <c r="B45" s="4"/>
      <c r="C45" s="4"/>
      <c r="D45" s="10">
        <v>2026.01</v>
      </c>
      <c r="E45" s="7" t="s">
        <v>347</v>
      </c>
      <c r="F45" s="9">
        <v>57.5</v>
      </c>
      <c r="G45" s="9">
        <v>19.899999999999999</v>
      </c>
      <c r="H45" s="7" t="s">
        <v>340</v>
      </c>
      <c r="I45" s="51" t="s">
        <v>338</v>
      </c>
      <c r="J45" s="78">
        <f>F45*10000/G45</f>
        <v>28894.472361809047</v>
      </c>
      <c r="K45" s="84"/>
    </row>
    <row r="46" spans="1:11" ht="15" customHeight="1">
      <c r="A46" s="4"/>
      <c r="B46" s="4"/>
      <c r="C46" s="4"/>
      <c r="D46" s="12"/>
      <c r="E46" s="12"/>
      <c r="F46" s="12"/>
      <c r="G46" s="12"/>
      <c r="H46" s="13"/>
      <c r="J46" s="12"/>
    </row>
    <row r="47" spans="1:11" ht="15" customHeight="1">
      <c r="D47" s="70">
        <v>2026.02</v>
      </c>
      <c r="E47" s="85"/>
      <c r="F47" s="152">
        <v>3276</v>
      </c>
      <c r="G47" s="152">
        <v>9000</v>
      </c>
      <c r="H47" s="85"/>
      <c r="I47" s="52" t="s">
        <v>349</v>
      </c>
      <c r="J47" s="85">
        <v>3640</v>
      </c>
      <c r="K47" s="86" t="s">
        <v>350</v>
      </c>
    </row>
    <row r="48" spans="1:11" ht="15" customHeight="1"/>
    <row r="49" spans="4:9" ht="15" customHeight="1"/>
    <row r="50" spans="4:9" ht="15" customHeight="1">
      <c r="D50" s="87"/>
      <c r="E50" s="87"/>
      <c r="F50" s="88"/>
      <c r="G50" s="87"/>
      <c r="H50" s="87"/>
      <c r="I50" s="87"/>
    </row>
    <row r="51" spans="4:9" ht="15" customHeight="1">
      <c r="F51" s="88"/>
      <c r="I51" s="89"/>
    </row>
    <row r="52" spans="4:9" ht="15" customHeight="1">
      <c r="F52" s="90"/>
      <c r="I52" s="89"/>
    </row>
    <row r="53" spans="4:9" ht="15" customHeight="1">
      <c r="F53" s="90"/>
      <c r="I53" s="89"/>
    </row>
    <row r="54" spans="4:9" ht="15" customHeight="1">
      <c r="F54" s="88"/>
      <c r="I54" s="89"/>
    </row>
    <row r="55" spans="4:9" ht="15" customHeight="1">
      <c r="F55" s="88"/>
    </row>
    <row r="56" spans="4:9" ht="15" customHeight="1">
      <c r="D56" s="87"/>
      <c r="E56" s="87"/>
      <c r="F56" s="88"/>
      <c r="G56" s="87"/>
      <c r="H56" s="87"/>
      <c r="I56" s="87"/>
    </row>
    <row r="57" spans="4:9" ht="15" customHeight="1">
      <c r="F57" s="88"/>
      <c r="I57" s="89"/>
    </row>
    <row r="58" spans="4:9" ht="15" customHeight="1">
      <c r="F58" s="88"/>
      <c r="I58" s="89"/>
    </row>
    <row r="59" spans="4:9" ht="15" customHeight="1">
      <c r="F59" s="90"/>
      <c r="I59" s="89"/>
    </row>
    <row r="60" spans="4:9" ht="15" customHeight="1">
      <c r="F60" s="88"/>
      <c r="I60" s="89"/>
    </row>
    <row r="61" spans="4:9" ht="15" customHeight="1">
      <c r="I61" s="89"/>
    </row>
    <row r="62" spans="4:9" ht="15" customHeight="1"/>
  </sheetData>
  <phoneticPr fontId="26" type="noConversion"/>
  <hyperlinks>
    <hyperlink ref="I30" r:id="rId1" xr:uid="{00000000-0004-0000-0800-000000000000}"/>
    <hyperlink ref="I31" r:id="rId2" xr:uid="{00000000-0004-0000-0800-000001000000}"/>
    <hyperlink ref="I32" r:id="rId3" xr:uid="{00000000-0004-0000-0800-000002000000}"/>
    <hyperlink ref="I33" r:id="rId4" xr:uid="{00000000-0004-0000-0800-000003000000}"/>
    <hyperlink ref="I34" r:id="rId5" xr:uid="{00000000-0004-0000-0800-000004000000}"/>
    <hyperlink ref="I35" r:id="rId6" xr:uid="{00000000-0004-0000-0800-000005000000}"/>
    <hyperlink ref="I36" r:id="rId7" xr:uid="{00000000-0004-0000-0800-000006000000}"/>
    <hyperlink ref="I37" r:id="rId8" xr:uid="{00000000-0004-0000-0800-000007000000}"/>
    <hyperlink ref="I38" r:id="rId9" xr:uid="{00000000-0004-0000-0800-000008000000}"/>
    <hyperlink ref="I39" r:id="rId10" xr:uid="{00000000-0004-0000-0800-000009000000}"/>
    <hyperlink ref="I40" r:id="rId11" xr:uid="{00000000-0004-0000-0800-00000A000000}"/>
    <hyperlink ref="I41" r:id="rId12" xr:uid="{00000000-0004-0000-0800-00000B000000}"/>
    <hyperlink ref="I42" r:id="rId13" xr:uid="{00000000-0004-0000-0800-00000C000000}"/>
    <hyperlink ref="I43" r:id="rId14" xr:uid="{00000000-0004-0000-0800-00000D000000}"/>
    <hyperlink ref="I44" r:id="rId15" xr:uid="{00000000-0004-0000-0800-00000E000000}"/>
    <hyperlink ref="I45" r:id="rId16" xr:uid="{00000000-0004-0000-0800-00000F000000}"/>
    <hyperlink ref="I47" r:id="rId17" xr:uid="{00000000-0004-0000-0800-00001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6" tint="-0.249977111117893"/>
  </sheetPr>
  <dimension ref="A1"/>
  <sheetViews>
    <sheetView topLeftCell="A1048576" workbookViewId="0">
      <selection sqref="A1:XFD1048576"/>
    </sheetView>
  </sheetViews>
  <sheetFormatPr defaultRowHeight="17.399999999999999" zeroHeight="1"/>
  <sheetData/>
  <phoneticPr fontId="2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6" tint="0.79992065187536243"/>
  </sheetPr>
  <dimension ref="A1:O64"/>
  <sheetViews>
    <sheetView showGridLines="0" workbookViewId="0"/>
  </sheetViews>
  <sheetFormatPr defaultColWidth="30.69921875" defaultRowHeight="17.399999999999999"/>
  <cols>
    <col min="1" max="3" width="1.69921875" style="1" customWidth="1"/>
    <col min="4" max="16384" width="30.69921875" style="1"/>
  </cols>
  <sheetData>
    <row r="1" spans="1:15" s="73" customFormat="1" ht="15" customHeight="1">
      <c r="A1" s="71" t="s">
        <v>351</v>
      </c>
      <c r="B1" s="71"/>
      <c r="C1" s="71"/>
      <c r="D1" s="71"/>
      <c r="E1" s="71"/>
      <c r="F1" s="71"/>
      <c r="G1" s="71"/>
      <c r="H1" s="71"/>
      <c r="I1" s="71"/>
      <c r="J1" s="71"/>
      <c r="K1" s="72"/>
      <c r="L1" s="72"/>
    </row>
    <row r="2" spans="1:15" ht="15" customHeight="1">
      <c r="D2" s="130" t="s">
        <v>352</v>
      </c>
      <c r="E2" s="130"/>
      <c r="F2" s="130"/>
      <c r="G2" s="130"/>
      <c r="H2" s="130"/>
      <c r="I2" s="130"/>
      <c r="J2" s="130"/>
      <c r="K2" s="130"/>
      <c r="L2" s="130"/>
      <c r="M2" s="130"/>
      <c r="N2" s="15"/>
      <c r="O2" s="15"/>
    </row>
    <row r="3" spans="1:15" ht="15" customHeight="1">
      <c r="D3" s="133" t="s">
        <v>353</v>
      </c>
      <c r="E3" s="133"/>
      <c r="F3" s="133"/>
      <c r="G3" s="133"/>
      <c r="H3" s="133"/>
      <c r="I3" s="133"/>
      <c r="J3" s="133"/>
      <c r="K3" s="133"/>
      <c r="L3" s="133"/>
      <c r="M3" s="133"/>
      <c r="N3" s="15"/>
      <c r="O3" s="15"/>
    </row>
    <row r="4" spans="1:15" ht="15" customHeight="1"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5"/>
      <c r="O4" s="15"/>
    </row>
    <row r="5" spans="1:15" ht="15" customHeight="1">
      <c r="D5" s="15" t="s">
        <v>354</v>
      </c>
      <c r="E5" s="133"/>
      <c r="F5" s="133"/>
      <c r="G5" s="133"/>
      <c r="H5" s="133"/>
      <c r="I5" s="133"/>
      <c r="J5" s="133"/>
      <c r="K5" s="133"/>
      <c r="L5" s="133"/>
      <c r="M5" s="133"/>
      <c r="N5" s="15"/>
      <c r="O5" s="15"/>
    </row>
    <row r="6" spans="1:15" ht="15" customHeight="1">
      <c r="D6" s="137" t="s">
        <v>152</v>
      </c>
      <c r="E6" s="138">
        <f>12*G18</f>
        <v>784008.17142857146</v>
      </c>
      <c r="F6" s="133"/>
      <c r="G6" s="133"/>
      <c r="H6" s="133"/>
      <c r="I6" s="133"/>
      <c r="J6" s="133"/>
      <c r="K6" s="133"/>
      <c r="L6" s="133"/>
      <c r="M6" s="133"/>
      <c r="N6" s="15"/>
      <c r="O6" s="15"/>
    </row>
    <row r="7" spans="1:15" ht="15" customHeight="1">
      <c r="F7" s="133"/>
      <c r="G7" s="133"/>
      <c r="H7" s="133"/>
      <c r="I7" s="133"/>
      <c r="J7" s="133"/>
      <c r="K7" s="133"/>
      <c r="L7" s="133"/>
      <c r="M7" s="133"/>
      <c r="N7" s="15"/>
      <c r="O7" s="15"/>
    </row>
    <row r="8" spans="1:15" ht="15" customHeight="1"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15" s="73" customFormat="1" ht="15" customHeight="1">
      <c r="A9" s="1"/>
      <c r="B9" s="1"/>
      <c r="C9" s="1" t="s">
        <v>0</v>
      </c>
      <c r="D9" s="71" t="s">
        <v>355</v>
      </c>
      <c r="E9" s="71"/>
      <c r="F9" s="71"/>
      <c r="G9" s="71"/>
      <c r="H9" s="71"/>
      <c r="I9" s="71" t="s">
        <v>356</v>
      </c>
      <c r="J9" s="71"/>
      <c r="K9" s="71"/>
      <c r="L9" s="71"/>
      <c r="M9" s="71"/>
      <c r="N9" s="72"/>
      <c r="O9" s="72"/>
    </row>
    <row r="10" spans="1:15" ht="15" customHeight="1">
      <c r="D10" s="131" t="s">
        <v>357</v>
      </c>
      <c r="E10" s="131" t="s">
        <v>358</v>
      </c>
      <c r="F10" s="131" t="s">
        <v>359</v>
      </c>
      <c r="G10" s="131" t="s">
        <v>360</v>
      </c>
      <c r="H10" s="15"/>
      <c r="I10" s="132" t="s">
        <v>361</v>
      </c>
      <c r="J10" s="132" t="s">
        <v>359</v>
      </c>
      <c r="K10" s="132" t="s">
        <v>362</v>
      </c>
      <c r="L10" s="132" t="s">
        <v>360</v>
      </c>
      <c r="M10" s="15"/>
      <c r="N10" s="15"/>
      <c r="O10" s="15"/>
    </row>
    <row r="11" spans="1:15" ht="15" customHeight="1">
      <c r="D11" s="134">
        <f>'Peer Comps'!F23</f>
        <v>18.866666666666667</v>
      </c>
      <c r="E11" s="134">
        <f>'Peer Comps'!F24</f>
        <v>20.428571428571427</v>
      </c>
      <c r="F11" s="134">
        <f>'Peer Comps'!F25</f>
        <v>18.899999999999999</v>
      </c>
      <c r="G11" s="134">
        <f>'Peer Comps'!F26</f>
        <v>22.9</v>
      </c>
      <c r="H11" s="15"/>
      <c r="I11" s="134">
        <f>'Peer Comps'!F27</f>
        <v>25.533333333333331</v>
      </c>
      <c r="J11" s="134">
        <f>'Peer Comps'!F28</f>
        <v>26.3</v>
      </c>
      <c r="K11" s="134">
        <f>'Peer Comps'!F29</f>
        <v>26.65</v>
      </c>
      <c r="L11" s="134">
        <f>'Peer Comps'!F30</f>
        <v>27</v>
      </c>
      <c r="M11" s="15"/>
      <c r="N11" s="15"/>
      <c r="O11" s="15"/>
    </row>
    <row r="12" spans="1:15" ht="15" customHeight="1"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15" ht="15" customHeight="1"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 ht="15" customHeight="1">
      <c r="C14" s="1" t="s">
        <v>0</v>
      </c>
      <c r="D14" s="71" t="s">
        <v>363</v>
      </c>
      <c r="E14" s="71"/>
      <c r="F14" s="71"/>
      <c r="G14" s="71"/>
      <c r="H14" s="15"/>
      <c r="I14" s="75" t="s">
        <v>364</v>
      </c>
      <c r="J14" s="75" t="s">
        <v>365</v>
      </c>
      <c r="K14" s="15"/>
      <c r="L14" s="15"/>
      <c r="M14" s="15"/>
      <c r="N14" s="15"/>
      <c r="O14" s="15"/>
    </row>
    <row r="15" spans="1:15" ht="15" customHeight="1">
      <c r="D15" s="124" t="s">
        <v>48</v>
      </c>
      <c r="E15" s="124" t="s">
        <v>210</v>
      </c>
      <c r="F15" s="124" t="s">
        <v>215</v>
      </c>
      <c r="G15" s="124" t="s">
        <v>187</v>
      </c>
      <c r="H15" s="15"/>
      <c r="I15" s="135" t="s">
        <v>366</v>
      </c>
      <c r="J15" s="136">
        <f>'Peer Comps'!F23</f>
        <v>18.866666666666667</v>
      </c>
      <c r="K15" s="15"/>
      <c r="L15" s="15"/>
      <c r="M15" s="15"/>
      <c r="N15" s="15"/>
      <c r="O15" s="15"/>
    </row>
    <row r="16" spans="1:15" ht="15" customHeight="1">
      <c r="D16" s="130" t="s">
        <v>367</v>
      </c>
      <c r="E16" s="123">
        <f>'Target Rent'!E6</f>
        <v>20.428571428571427</v>
      </c>
      <c r="F16" s="123">
        <f>'Target Rent'!E7</f>
        <v>26.3</v>
      </c>
      <c r="G16" s="128"/>
      <c r="H16" s="15"/>
      <c r="I16" s="135" t="s">
        <v>368</v>
      </c>
      <c r="J16" s="136">
        <f>'Peer Comps'!F24</f>
        <v>20.428571428571427</v>
      </c>
      <c r="K16" s="15"/>
      <c r="L16" s="15"/>
      <c r="M16" s="15"/>
      <c r="N16" s="15"/>
      <c r="O16" s="15"/>
    </row>
    <row r="17" spans="4:15" ht="15" customHeight="1">
      <c r="D17" s="130" t="s">
        <v>369</v>
      </c>
      <c r="E17" s="123">
        <f>SUMIF('Target Rent'!D14:D24,"Office",'Target Rent'!F14:F24)</f>
        <v>1446</v>
      </c>
      <c r="F17" s="123">
        <f>SUMIF('Target Rent'!D14:D24,"Retail",'Target Rent'!F14:F24)</f>
        <v>1361</v>
      </c>
      <c r="G17" s="123">
        <f>E17+F17</f>
        <v>2807</v>
      </c>
      <c r="H17" s="15"/>
      <c r="I17" s="135" t="s">
        <v>370</v>
      </c>
      <c r="J17" s="136">
        <f>'Peer Comps'!F25</f>
        <v>18.899999999999999</v>
      </c>
      <c r="K17" s="15"/>
      <c r="L17" s="15"/>
      <c r="M17" s="15"/>
      <c r="N17" s="15"/>
      <c r="O17" s="15"/>
    </row>
    <row r="18" spans="4:15" ht="15" customHeight="1">
      <c r="D18" s="130" t="s">
        <v>371</v>
      </c>
      <c r="E18" s="17">
        <f>SUMIF('Target Rent'!D14:D24,"Office",'Target Rent'!H14:H24)</f>
        <v>29539.714285714283</v>
      </c>
      <c r="F18" s="17">
        <f>SUMIF('Target Rent'!D14:D24,"Retail",'Target Rent'!H14:H24)</f>
        <v>35794.300000000003</v>
      </c>
      <c r="G18" s="17">
        <f>E18+F18</f>
        <v>65334.014285714286</v>
      </c>
      <c r="H18" s="15"/>
      <c r="I18" s="135" t="s">
        <v>372</v>
      </c>
      <c r="J18" s="136">
        <f>'Peer Comps'!F26</f>
        <v>22.9</v>
      </c>
      <c r="K18" s="15"/>
      <c r="L18" s="15"/>
      <c r="M18" s="15"/>
      <c r="N18" s="15"/>
      <c r="O18" s="15"/>
    </row>
    <row r="19" spans="4:15" ht="15" customHeight="1">
      <c r="D19" s="130" t="s">
        <v>373</v>
      </c>
      <c r="E19" s="17">
        <f>SUMIF('Target Rent'!D14:D24,"Office",'Target Rent'!J14:J24)</f>
        <v>10555.8</v>
      </c>
      <c r="F19" s="17">
        <f>SUMIF('Target Rent'!D14:D24,"Retail",'Target Rent'!J14:J24)</f>
        <v>2221.8325000000004</v>
      </c>
      <c r="G19" s="17">
        <f>E19+F19</f>
        <v>12777.6325</v>
      </c>
      <c r="H19" s="15"/>
      <c r="I19" s="135" t="s">
        <v>374</v>
      </c>
      <c r="J19" s="136">
        <f>'Peer Comps'!F27</f>
        <v>25.533333333333331</v>
      </c>
      <c r="K19" s="15"/>
      <c r="L19" s="15"/>
      <c r="M19" s="15"/>
      <c r="N19" s="15"/>
      <c r="O19" s="15"/>
    </row>
    <row r="20" spans="4:15" ht="15" customHeight="1">
      <c r="D20" s="130" t="s">
        <v>375</v>
      </c>
      <c r="E20" s="17">
        <f>E18+E19</f>
        <v>40095.514285714278</v>
      </c>
      <c r="F20" s="17">
        <f>F18+F19</f>
        <v>38016.132500000007</v>
      </c>
      <c r="G20" s="17">
        <f>E20+F20</f>
        <v>78111.646785714285</v>
      </c>
      <c r="H20" s="15"/>
      <c r="I20" s="135" t="s">
        <v>376</v>
      </c>
      <c r="J20" s="136">
        <f>'Peer Comps'!F28</f>
        <v>26.3</v>
      </c>
      <c r="K20" s="15"/>
      <c r="L20" s="15"/>
      <c r="M20" s="15"/>
      <c r="N20" s="15"/>
      <c r="O20" s="15"/>
    </row>
    <row r="21" spans="4:15" ht="15" customHeight="1">
      <c r="D21" s="15"/>
      <c r="E21" s="15"/>
      <c r="F21" s="15"/>
      <c r="G21" s="15"/>
      <c r="H21" s="15"/>
      <c r="I21" s="135" t="s">
        <v>377</v>
      </c>
      <c r="J21" s="136">
        <f>'Peer Comps'!F29</f>
        <v>26.65</v>
      </c>
      <c r="K21" s="15"/>
      <c r="L21" s="15"/>
      <c r="M21" s="15"/>
      <c r="N21" s="15"/>
      <c r="O21" s="15"/>
    </row>
    <row r="22" spans="4:15" ht="15" customHeight="1">
      <c r="D22" s="15"/>
      <c r="E22" s="15"/>
      <c r="F22" s="15"/>
      <c r="G22" s="15"/>
      <c r="H22" s="15"/>
      <c r="I22" s="135" t="s">
        <v>378</v>
      </c>
      <c r="J22" s="136">
        <f>'Peer Comps'!F30</f>
        <v>27</v>
      </c>
      <c r="K22" s="15"/>
      <c r="L22" s="15"/>
      <c r="M22" s="15"/>
      <c r="N22" s="15"/>
      <c r="O22" s="15"/>
    </row>
    <row r="23" spans="4:15" ht="15" customHeight="1">
      <c r="D23" s="129" t="s">
        <v>379</v>
      </c>
      <c r="E23" s="129"/>
      <c r="F23" s="129"/>
      <c r="G23" s="129"/>
      <c r="H23" s="15"/>
      <c r="I23" s="15"/>
      <c r="J23" s="15"/>
      <c r="K23" s="15"/>
      <c r="L23" s="15"/>
      <c r="M23" s="15"/>
      <c r="N23" s="15"/>
      <c r="O23" s="15"/>
    </row>
    <row r="24" spans="4:15" ht="15" customHeight="1">
      <c r="D24" s="129"/>
      <c r="E24" s="129"/>
      <c r="F24" s="129"/>
      <c r="G24" s="129"/>
      <c r="H24" s="15"/>
      <c r="I24" s="15"/>
      <c r="J24" s="15"/>
      <c r="K24" s="15"/>
      <c r="L24" s="15"/>
      <c r="M24" s="15"/>
      <c r="N24" s="15"/>
      <c r="O24" s="15"/>
    </row>
    <row r="25" spans="4:15" ht="15" customHeight="1">
      <c r="D25" s="129"/>
      <c r="E25" s="129"/>
      <c r="F25" s="129"/>
      <c r="G25" s="129"/>
      <c r="H25" s="15"/>
      <c r="I25" s="15"/>
      <c r="J25" s="15"/>
      <c r="K25" s="15"/>
      <c r="L25" s="15"/>
      <c r="M25" s="15"/>
      <c r="N25" s="15"/>
      <c r="O25" s="15"/>
    </row>
    <row r="26" spans="4:15" ht="15" customHeight="1"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 spans="4:15" ht="15" customHeight="1"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4:15" ht="15" customHeight="1"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4:15" ht="15" customHeight="1"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4:15" ht="15" customHeight="1"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4:15" ht="15" customHeight="1"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4:15" ht="15" customHeight="1"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4:15" ht="15" customHeight="1"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4:15" ht="15" customHeight="1"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spans="4:15" ht="15" customHeight="1"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4:15" ht="15" customHeight="1"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 spans="4:15" ht="15" customHeight="1"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spans="4:15" ht="15" customHeight="1"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4:15" ht="15" customHeight="1"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4:15" ht="15" customHeight="1"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4:15" ht="15" customHeight="1"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spans="4:15" ht="15" customHeight="1"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spans="4:15" ht="15" customHeight="1"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spans="4:15" ht="15" customHeight="1"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spans="4:15" ht="15" customHeight="1"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spans="4:15" ht="15" customHeight="1"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</row>
    <row r="47" spans="4:15" ht="15" customHeight="1"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4:15" ht="15" customHeight="1"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 spans="4:15" ht="15" customHeight="1"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</row>
    <row r="50" spans="4:15" ht="15" customHeight="1"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spans="4:15" ht="15" customHeight="1"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4:15" ht="15" customHeight="1"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spans="4:15" ht="15" customHeight="1"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</row>
    <row r="54" spans="4:15" ht="15" customHeight="1"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</row>
    <row r="55" spans="4:15" ht="15" customHeight="1"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</row>
    <row r="56" spans="4:15" ht="15" customHeight="1"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</row>
    <row r="57" spans="4:15" ht="15" customHeight="1"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</row>
    <row r="58" spans="4:15" ht="15" customHeight="1"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  <row r="59" spans="4:15" ht="15" customHeight="1"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spans="4:15" ht="15" customHeight="1"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 spans="4:15" ht="15" customHeight="1"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4:15" ht="15" customHeight="1"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</row>
    <row r="63" spans="4:15" ht="15" customHeight="1"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 spans="4:15" ht="15" customHeight="1"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</row>
  </sheetData>
  <phoneticPr fontId="2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6" tint="0.79992065187536243"/>
  </sheetPr>
  <dimension ref="A1:O60"/>
  <sheetViews>
    <sheetView showGridLines="0" topLeftCell="A4" zoomScale="55" zoomScaleNormal="55" workbookViewId="0">
      <selection activeCell="E56" sqref="E56"/>
    </sheetView>
  </sheetViews>
  <sheetFormatPr defaultColWidth="20.69921875" defaultRowHeight="17.399999999999999"/>
  <cols>
    <col min="1" max="3" width="1.69921875" style="1" customWidth="1"/>
    <col min="4" max="4" width="20.69921875" style="1"/>
    <col min="5" max="5" width="30.69921875" style="1" customWidth="1"/>
    <col min="6" max="16384" width="20.69921875" style="1"/>
  </cols>
  <sheetData>
    <row r="1" spans="1:15" s="73" customFormat="1" ht="15" customHeight="1">
      <c r="A1" s="71" t="s">
        <v>380</v>
      </c>
      <c r="B1" s="71"/>
      <c r="C1" s="71"/>
      <c r="D1" s="71"/>
      <c r="E1" s="71"/>
      <c r="F1" s="71"/>
      <c r="G1" s="72"/>
      <c r="H1" s="72"/>
      <c r="I1" s="72"/>
      <c r="J1" s="72"/>
      <c r="K1" s="72"/>
      <c r="L1" s="72"/>
    </row>
    <row r="2" spans="1:15" ht="15" customHeight="1"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s="73" customFormat="1" ht="15" customHeight="1">
      <c r="A3" s="1"/>
      <c r="B3" s="1"/>
      <c r="C3" s="1" t="s">
        <v>0</v>
      </c>
      <c r="D3" s="71" t="s">
        <v>381</v>
      </c>
      <c r="E3" s="71"/>
      <c r="F3" s="71"/>
      <c r="G3" s="71"/>
      <c r="H3" s="71"/>
      <c r="I3" s="71"/>
      <c r="J3" s="72"/>
      <c r="K3" s="72"/>
      <c r="L3" s="72"/>
      <c r="M3" s="72"/>
      <c r="N3" s="72"/>
      <c r="O3" s="72"/>
    </row>
    <row r="4" spans="1:15" ht="15" customHeight="1">
      <c r="D4" s="111" t="s">
        <v>382</v>
      </c>
      <c r="E4" s="15" t="s">
        <v>383</v>
      </c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ht="15" customHeight="1">
      <c r="D5" s="111" t="s">
        <v>384</v>
      </c>
      <c r="E5" s="15" t="s">
        <v>385</v>
      </c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 ht="15" customHeight="1">
      <c r="D6" s="111" t="s">
        <v>386</v>
      </c>
      <c r="E6" s="15" t="s">
        <v>387</v>
      </c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 ht="15" customHeight="1">
      <c r="D7" s="111" t="s">
        <v>388</v>
      </c>
      <c r="E7" s="15" t="s">
        <v>389</v>
      </c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 ht="15" customHeight="1">
      <c r="D8" s="111" t="s">
        <v>390</v>
      </c>
      <c r="E8" s="15" t="s">
        <v>391</v>
      </c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15" ht="15" customHeight="1"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5" ht="15" customHeight="1"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5" s="73" customFormat="1" ht="15" customHeight="1">
      <c r="A11" s="1"/>
      <c r="B11" s="1"/>
      <c r="C11" s="1" t="s">
        <v>0</v>
      </c>
      <c r="D11" s="71" t="s">
        <v>392</v>
      </c>
      <c r="E11" s="71"/>
      <c r="F11" s="71"/>
      <c r="G11" s="71"/>
      <c r="H11" s="71"/>
      <c r="I11" s="71"/>
      <c r="J11" s="72"/>
      <c r="K11" s="72"/>
      <c r="L11" s="72"/>
      <c r="M11" s="72"/>
      <c r="N11" s="72"/>
      <c r="O11" s="72"/>
    </row>
    <row r="12" spans="1:15" ht="15" customHeight="1">
      <c r="D12" s="112" t="s">
        <v>393</v>
      </c>
      <c r="E12" s="112" t="s">
        <v>129</v>
      </c>
      <c r="F12" s="112" t="s">
        <v>130</v>
      </c>
      <c r="G12" s="112"/>
      <c r="H12" s="15"/>
      <c r="I12" s="15"/>
      <c r="J12" s="15"/>
      <c r="K12" s="15"/>
      <c r="L12" s="15"/>
      <c r="M12" s="15"/>
      <c r="N12" s="15"/>
      <c r="O12" s="15"/>
    </row>
    <row r="13" spans="1:15" ht="15" customHeight="1">
      <c r="D13" s="15" t="s">
        <v>210</v>
      </c>
      <c r="E13" s="15" t="s">
        <v>394</v>
      </c>
      <c r="F13" s="110" t="s">
        <v>395</v>
      </c>
      <c r="G13" s="15"/>
      <c r="H13" s="15"/>
      <c r="I13" s="15"/>
      <c r="J13" s="15"/>
      <c r="K13" s="15"/>
      <c r="L13" s="15"/>
      <c r="M13" s="15"/>
      <c r="N13" s="15"/>
      <c r="O13" s="15"/>
    </row>
    <row r="14" spans="1:15" ht="15" customHeight="1">
      <c r="D14" s="15" t="s">
        <v>210</v>
      </c>
      <c r="E14" s="15" t="s">
        <v>396</v>
      </c>
      <c r="F14" s="110" t="s">
        <v>397</v>
      </c>
      <c r="G14" s="15"/>
      <c r="H14" s="15"/>
      <c r="I14" s="15"/>
      <c r="J14" s="15"/>
      <c r="K14" s="15"/>
      <c r="L14" s="15"/>
      <c r="M14" s="15"/>
      <c r="N14" s="15"/>
      <c r="O14" s="15"/>
    </row>
    <row r="15" spans="1:15" ht="15" customHeight="1">
      <c r="D15" s="15" t="s">
        <v>210</v>
      </c>
      <c r="E15" s="15" t="s">
        <v>398</v>
      </c>
      <c r="F15" s="110" t="s">
        <v>399</v>
      </c>
      <c r="G15" s="15"/>
      <c r="H15" s="15"/>
      <c r="I15" s="15"/>
      <c r="J15" s="15"/>
      <c r="K15" s="15"/>
      <c r="L15" s="15"/>
      <c r="M15" s="15"/>
      <c r="N15" s="15"/>
      <c r="O15" s="15"/>
    </row>
    <row r="16" spans="1:15" ht="15" customHeight="1">
      <c r="D16" s="15" t="s">
        <v>210</v>
      </c>
      <c r="E16" s="15" t="s">
        <v>400</v>
      </c>
      <c r="F16" s="110" t="s">
        <v>401</v>
      </c>
      <c r="G16" s="15"/>
      <c r="H16" s="15"/>
      <c r="I16" s="15"/>
      <c r="J16" s="15"/>
      <c r="K16" s="15"/>
      <c r="L16" s="15"/>
      <c r="M16" s="15"/>
      <c r="N16" s="15"/>
      <c r="O16" s="15"/>
    </row>
    <row r="17" spans="4:15" ht="15" customHeight="1">
      <c r="D17" s="15" t="s">
        <v>210</v>
      </c>
      <c r="E17" s="15" t="s">
        <v>400</v>
      </c>
      <c r="F17" s="110" t="s">
        <v>401</v>
      </c>
      <c r="G17" s="15"/>
      <c r="H17" s="15"/>
      <c r="I17" s="15"/>
      <c r="J17" s="15"/>
      <c r="K17" s="15"/>
      <c r="L17" s="15"/>
      <c r="M17" s="15"/>
      <c r="N17" s="15"/>
      <c r="O17" s="15"/>
    </row>
    <row r="18" spans="4:15" ht="15" customHeight="1">
      <c r="D18" s="15" t="s">
        <v>210</v>
      </c>
      <c r="E18" s="15" t="s">
        <v>402</v>
      </c>
      <c r="F18" s="110" t="s">
        <v>403</v>
      </c>
      <c r="G18" s="15"/>
      <c r="H18" s="15"/>
      <c r="I18" s="15"/>
      <c r="J18" s="15"/>
      <c r="K18" s="15"/>
      <c r="L18" s="15"/>
      <c r="M18" s="15"/>
      <c r="N18" s="15"/>
      <c r="O18" s="15"/>
    </row>
    <row r="19" spans="4:15" ht="15" customHeight="1">
      <c r="D19" s="15" t="s">
        <v>210</v>
      </c>
      <c r="E19" s="15" t="s">
        <v>402</v>
      </c>
      <c r="F19" s="110" t="s">
        <v>403</v>
      </c>
      <c r="G19" s="15"/>
      <c r="H19" s="15"/>
      <c r="I19" s="15"/>
      <c r="J19" s="15"/>
      <c r="K19" s="15"/>
      <c r="L19" s="15"/>
      <c r="M19" s="15"/>
      <c r="N19" s="15"/>
      <c r="O19" s="15"/>
    </row>
    <row r="20" spans="4:15" ht="15" customHeight="1">
      <c r="D20" s="15" t="s">
        <v>210</v>
      </c>
      <c r="E20" s="15" t="s">
        <v>404</v>
      </c>
      <c r="F20" s="110" t="s">
        <v>405</v>
      </c>
      <c r="G20" s="15"/>
      <c r="H20" s="15"/>
      <c r="I20" s="15"/>
      <c r="J20" s="15"/>
      <c r="K20" s="15"/>
      <c r="L20" s="15"/>
      <c r="M20" s="15"/>
      <c r="N20" s="15"/>
      <c r="O20" s="15"/>
    </row>
    <row r="21" spans="4:15" ht="15" customHeight="1">
      <c r="D21" s="15" t="s">
        <v>210</v>
      </c>
      <c r="E21" s="15" t="s">
        <v>404</v>
      </c>
      <c r="F21" s="110" t="s">
        <v>405</v>
      </c>
      <c r="G21" s="15"/>
      <c r="H21" s="15"/>
      <c r="I21" s="15"/>
      <c r="J21" s="15"/>
      <c r="K21" s="15"/>
      <c r="L21" s="15"/>
      <c r="M21" s="15"/>
      <c r="N21" s="15"/>
      <c r="O21" s="15"/>
    </row>
    <row r="22" spans="4:15" ht="15" customHeight="1">
      <c r="D22" s="15" t="s">
        <v>210</v>
      </c>
      <c r="E22" s="15" t="s">
        <v>406</v>
      </c>
      <c r="F22" s="110" t="s">
        <v>407</v>
      </c>
      <c r="G22" s="15"/>
      <c r="H22" s="15"/>
      <c r="I22" s="15"/>
      <c r="J22" s="15"/>
      <c r="K22" s="15"/>
      <c r="L22" s="15"/>
      <c r="M22" s="15"/>
      <c r="N22" s="15"/>
      <c r="O22" s="15"/>
    </row>
    <row r="23" spans="4:15" ht="15" customHeight="1">
      <c r="D23" s="15" t="s">
        <v>215</v>
      </c>
      <c r="E23" s="15" t="s">
        <v>408</v>
      </c>
      <c r="F23" s="110" t="s">
        <v>409</v>
      </c>
      <c r="G23" s="15"/>
      <c r="H23" s="15"/>
      <c r="I23" s="15"/>
      <c r="J23" s="15"/>
      <c r="K23" s="15"/>
      <c r="L23" s="15"/>
      <c r="M23" s="15"/>
      <c r="N23" s="15"/>
      <c r="O23" s="15"/>
    </row>
    <row r="24" spans="4:15" ht="15" customHeight="1">
      <c r="D24" s="15" t="s">
        <v>215</v>
      </c>
      <c r="E24" s="15" t="s">
        <v>410</v>
      </c>
      <c r="F24" s="110" t="s">
        <v>411</v>
      </c>
      <c r="G24" s="15"/>
      <c r="H24" s="15"/>
      <c r="I24" s="15"/>
      <c r="J24" s="15"/>
      <c r="K24" s="15"/>
      <c r="L24" s="15"/>
      <c r="M24" s="15"/>
      <c r="N24" s="15"/>
      <c r="O24" s="15"/>
    </row>
    <row r="25" spans="4:15" ht="15" customHeight="1">
      <c r="D25" s="15" t="s">
        <v>215</v>
      </c>
      <c r="E25" s="15" t="s">
        <v>412</v>
      </c>
      <c r="F25" s="110" t="s">
        <v>413</v>
      </c>
      <c r="G25" s="15"/>
      <c r="H25" s="15"/>
      <c r="I25" s="15"/>
      <c r="J25" s="15"/>
      <c r="K25" s="15"/>
      <c r="L25" s="15"/>
      <c r="M25" s="15"/>
      <c r="N25" s="15"/>
      <c r="O25" s="15"/>
    </row>
    <row r="26" spans="4:15" ht="15" customHeight="1">
      <c r="D26" s="15" t="s">
        <v>215</v>
      </c>
      <c r="E26" s="15" t="s">
        <v>414</v>
      </c>
      <c r="F26" s="110" t="s">
        <v>415</v>
      </c>
      <c r="G26" s="15"/>
      <c r="H26" s="15"/>
      <c r="I26" s="15"/>
      <c r="J26" s="15"/>
      <c r="K26" s="15"/>
      <c r="L26" s="15"/>
      <c r="M26" s="15"/>
      <c r="N26" s="15"/>
      <c r="O26" s="15"/>
    </row>
    <row r="27" spans="4:15" ht="15" customHeight="1"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4:15" ht="15" customHeight="1"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4:15" ht="15" customHeight="1"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4:15" ht="15" customHeight="1"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4:15" ht="15" customHeight="1"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4:15" ht="15" customHeight="1"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4:15" ht="15" customHeight="1"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4:15" ht="15" customHeight="1"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spans="4:15" ht="15" customHeight="1"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4:15" ht="15" customHeight="1"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 spans="4:15" ht="15" customHeight="1"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spans="4:15" ht="15" customHeight="1"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4:15" ht="15" customHeight="1"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4:15" ht="15" customHeight="1"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4:15" ht="15" customHeight="1"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spans="4:15" ht="15" customHeight="1"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spans="4:15" ht="15" customHeight="1"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spans="4:15" ht="15" customHeight="1"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spans="4:15" ht="15" customHeight="1"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spans="4:15" ht="15" customHeight="1"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</row>
    <row r="47" spans="4:15" ht="15" customHeight="1"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4:15" ht="15" customHeight="1"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 spans="4:15" ht="15" customHeight="1"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</row>
    <row r="50" spans="4:15" ht="15" customHeight="1"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spans="4:15" ht="15" customHeight="1"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4:15" ht="15" customHeight="1"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spans="4:15" ht="15" customHeight="1"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</row>
    <row r="54" spans="4:15" ht="15" customHeight="1"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</row>
    <row r="55" spans="4:15" ht="15" customHeight="1"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</row>
    <row r="56" spans="4:15" ht="15" customHeight="1"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</row>
    <row r="57" spans="4:15" ht="15" customHeight="1"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</row>
    <row r="58" spans="4:15" ht="15" customHeight="1"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  <row r="59" spans="4:15" ht="15" customHeight="1"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spans="4:15" ht="15" customHeight="1"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</row>
  </sheetData>
  <phoneticPr fontId="26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79992065187536243"/>
  </sheetPr>
  <dimension ref="A1:O60"/>
  <sheetViews>
    <sheetView showGridLines="0" zoomScale="40" zoomScaleNormal="40" workbookViewId="0"/>
  </sheetViews>
  <sheetFormatPr defaultColWidth="30.69921875" defaultRowHeight="17.399999999999999"/>
  <cols>
    <col min="1" max="3" width="1.69921875" style="1" customWidth="1"/>
    <col min="4" max="16384" width="30.69921875" style="1"/>
  </cols>
  <sheetData>
    <row r="1" spans="1:15" s="73" customFormat="1" ht="15" customHeight="1">
      <c r="A1" s="71" t="s">
        <v>416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5" ht="15" customHeight="1">
      <c r="D2" s="113" t="s">
        <v>417</v>
      </c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</row>
    <row r="3" spans="1:15" ht="15" customHeight="1"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s="73" customFormat="1" ht="15" customHeight="1">
      <c r="A4" s="1"/>
      <c r="B4" s="1"/>
      <c r="C4" s="1" t="s">
        <v>0</v>
      </c>
      <c r="D4" s="75" t="s">
        <v>393</v>
      </c>
      <c r="E4" s="75" t="s">
        <v>418</v>
      </c>
      <c r="F4" s="75" t="s">
        <v>419</v>
      </c>
      <c r="G4" s="75" t="s">
        <v>420</v>
      </c>
      <c r="H4" s="75" t="s">
        <v>421</v>
      </c>
      <c r="I4" s="75" t="s">
        <v>422</v>
      </c>
      <c r="J4" s="75" t="s">
        <v>423</v>
      </c>
      <c r="K4" s="75" t="s">
        <v>424</v>
      </c>
      <c r="L4" s="75" t="s">
        <v>425</v>
      </c>
      <c r="M4" s="75" t="s">
        <v>426</v>
      </c>
      <c r="N4" s="75" t="s">
        <v>129</v>
      </c>
      <c r="O4" s="75" t="s">
        <v>427</v>
      </c>
    </row>
    <row r="5" spans="1:15" ht="15" customHeight="1">
      <c r="D5" s="116" t="s">
        <v>210</v>
      </c>
      <c r="E5" s="116" t="s">
        <v>428</v>
      </c>
      <c r="F5" s="117">
        <v>242.53</v>
      </c>
      <c r="G5" s="117">
        <v>6.68</v>
      </c>
      <c r="H5" s="118">
        <v>5565</v>
      </c>
      <c r="I5" s="117">
        <v>12</v>
      </c>
      <c r="J5" s="118">
        <v>1771</v>
      </c>
      <c r="K5" s="117">
        <v>22.9</v>
      </c>
      <c r="L5" s="117">
        <v>7.3</v>
      </c>
      <c r="M5" s="116" t="s">
        <v>429</v>
      </c>
      <c r="N5" s="116" t="s">
        <v>394</v>
      </c>
      <c r="O5" s="116" t="s">
        <v>395</v>
      </c>
    </row>
    <row r="6" spans="1:15" ht="15" customHeight="1">
      <c r="D6" s="116" t="s">
        <v>210</v>
      </c>
      <c r="E6" s="116" t="s">
        <v>430</v>
      </c>
      <c r="F6" s="117">
        <v>240.54</v>
      </c>
      <c r="G6" s="117">
        <v>6.62</v>
      </c>
      <c r="H6" s="118">
        <v>5519</v>
      </c>
      <c r="I6" s="117">
        <v>11.99</v>
      </c>
      <c r="J6" s="118">
        <v>1756</v>
      </c>
      <c r="K6" s="117">
        <v>22.9</v>
      </c>
      <c r="L6" s="117">
        <v>7.3</v>
      </c>
      <c r="M6" s="116" t="s">
        <v>429</v>
      </c>
      <c r="N6" s="116" t="s">
        <v>396</v>
      </c>
      <c r="O6" s="116" t="s">
        <v>397</v>
      </c>
    </row>
    <row r="7" spans="1:15" ht="15" customHeight="1">
      <c r="D7" s="116" t="s">
        <v>210</v>
      </c>
      <c r="E7" s="116" t="s">
        <v>431</v>
      </c>
      <c r="F7" s="117">
        <v>321.04000000000002</v>
      </c>
      <c r="G7" s="117">
        <v>6.49</v>
      </c>
      <c r="H7" s="118">
        <v>6080</v>
      </c>
      <c r="I7" s="117">
        <v>10.67</v>
      </c>
      <c r="J7" s="118">
        <v>1110</v>
      </c>
      <c r="K7" s="117">
        <v>18.899999999999999</v>
      </c>
      <c r="L7" s="117">
        <v>3.46</v>
      </c>
      <c r="M7" s="116" t="s">
        <v>432</v>
      </c>
      <c r="N7" s="116" t="s">
        <v>398</v>
      </c>
      <c r="O7" s="116" t="s">
        <v>399</v>
      </c>
    </row>
    <row r="8" spans="1:15" ht="15" customHeight="1">
      <c r="D8" s="116" t="s">
        <v>210</v>
      </c>
      <c r="E8" s="116" t="s">
        <v>433</v>
      </c>
      <c r="F8" s="117">
        <v>156.36000000000001</v>
      </c>
      <c r="G8" s="117">
        <v>3.21</v>
      </c>
      <c r="H8" s="118">
        <v>3211</v>
      </c>
      <c r="I8" s="117">
        <v>10</v>
      </c>
      <c r="J8" s="118"/>
      <c r="K8" s="117">
        <v>20.5</v>
      </c>
      <c r="L8" s="117"/>
      <c r="M8" s="116" t="s">
        <v>432</v>
      </c>
      <c r="N8" s="116" t="s">
        <v>400</v>
      </c>
      <c r="O8" s="116" t="s">
        <v>401</v>
      </c>
    </row>
    <row r="9" spans="1:15" ht="15" customHeight="1">
      <c r="D9" s="116" t="s">
        <v>210</v>
      </c>
      <c r="E9" s="116" t="s">
        <v>434</v>
      </c>
      <c r="F9" s="117">
        <v>107.9</v>
      </c>
      <c r="G9" s="117">
        <v>2.2200000000000002</v>
      </c>
      <c r="H9" s="118">
        <v>2216</v>
      </c>
      <c r="I9" s="117">
        <v>10.02</v>
      </c>
      <c r="J9" s="118"/>
      <c r="K9" s="117">
        <v>20.5</v>
      </c>
      <c r="L9" s="117"/>
      <c r="M9" s="116" t="s">
        <v>432</v>
      </c>
      <c r="N9" s="116" t="s">
        <v>400</v>
      </c>
      <c r="O9" s="116" t="s">
        <v>401</v>
      </c>
    </row>
    <row r="10" spans="1:15" ht="15" customHeight="1">
      <c r="D10" s="116" t="s">
        <v>210</v>
      </c>
      <c r="E10" s="116" t="s">
        <v>435</v>
      </c>
      <c r="F10" s="117">
        <v>62.34</v>
      </c>
      <c r="G10" s="117">
        <v>1.17</v>
      </c>
      <c r="H10" s="118">
        <v>1173</v>
      </c>
      <c r="I10" s="117">
        <v>9.9700000000000006</v>
      </c>
      <c r="J10" s="118"/>
      <c r="K10" s="117">
        <v>18.8</v>
      </c>
      <c r="L10" s="117"/>
      <c r="M10" s="116" t="s">
        <v>436</v>
      </c>
      <c r="N10" s="116" t="s">
        <v>402</v>
      </c>
      <c r="O10" s="116" t="s">
        <v>403</v>
      </c>
    </row>
    <row r="11" spans="1:15" ht="15" customHeight="1">
      <c r="D11" s="116" t="s">
        <v>210</v>
      </c>
      <c r="E11" s="116" t="s">
        <v>437</v>
      </c>
      <c r="F11" s="117">
        <v>63.79</v>
      </c>
      <c r="G11" s="117">
        <v>1.18</v>
      </c>
      <c r="H11" s="118">
        <v>1179</v>
      </c>
      <c r="I11" s="117">
        <v>10.01</v>
      </c>
      <c r="J11" s="118"/>
      <c r="K11" s="117">
        <v>18.5</v>
      </c>
      <c r="L11" s="117"/>
      <c r="M11" s="116" t="s">
        <v>436</v>
      </c>
      <c r="N11" s="116" t="s">
        <v>402</v>
      </c>
      <c r="O11" s="116" t="s">
        <v>403</v>
      </c>
    </row>
    <row r="12" spans="1:15" ht="15" customHeight="1">
      <c r="D12" s="116" t="s">
        <v>210</v>
      </c>
      <c r="E12" s="116" t="s">
        <v>438</v>
      </c>
      <c r="F12" s="117">
        <v>73.5</v>
      </c>
      <c r="G12" s="117">
        <v>0.98</v>
      </c>
      <c r="H12" s="118">
        <v>985</v>
      </c>
      <c r="I12" s="117">
        <v>9.9499999999999993</v>
      </c>
      <c r="J12" s="118"/>
      <c r="K12" s="117">
        <v>13.4</v>
      </c>
      <c r="L12" s="117"/>
      <c r="M12" s="116" t="s">
        <v>436</v>
      </c>
      <c r="N12" s="116" t="s">
        <v>404</v>
      </c>
      <c r="O12" s="116" t="s">
        <v>405</v>
      </c>
    </row>
    <row r="13" spans="1:15" ht="15" customHeight="1">
      <c r="D13" s="116" t="s">
        <v>210</v>
      </c>
      <c r="E13" s="116" t="s">
        <v>439</v>
      </c>
      <c r="F13" s="117">
        <v>59</v>
      </c>
      <c r="G13" s="117">
        <v>0.79</v>
      </c>
      <c r="H13" s="118"/>
      <c r="I13" s="117"/>
      <c r="J13" s="118"/>
      <c r="K13" s="117">
        <v>13.4</v>
      </c>
      <c r="L13" s="117"/>
      <c r="M13" s="116" t="s">
        <v>436</v>
      </c>
      <c r="N13" s="116" t="s">
        <v>404</v>
      </c>
      <c r="O13" s="116" t="s">
        <v>405</v>
      </c>
    </row>
    <row r="14" spans="1:15" ht="15" customHeight="1">
      <c r="D14" s="116" t="s">
        <v>210</v>
      </c>
      <c r="E14" s="116" t="s">
        <v>440</v>
      </c>
      <c r="F14" s="117">
        <v>180</v>
      </c>
      <c r="G14" s="117">
        <v>2</v>
      </c>
      <c r="H14" s="118">
        <v>1690</v>
      </c>
      <c r="I14" s="117">
        <v>11.83</v>
      </c>
      <c r="J14" s="118">
        <v>189</v>
      </c>
      <c r="K14" s="117">
        <v>9.4</v>
      </c>
      <c r="L14" s="117">
        <v>1.05</v>
      </c>
      <c r="M14" s="116" t="s">
        <v>441</v>
      </c>
      <c r="N14" s="116" t="s">
        <v>406</v>
      </c>
      <c r="O14" s="116" t="s">
        <v>407</v>
      </c>
    </row>
    <row r="15" spans="1:15" ht="15" customHeight="1">
      <c r="D15" s="119" t="s">
        <v>215</v>
      </c>
      <c r="E15" s="119" t="s">
        <v>442</v>
      </c>
      <c r="F15" s="120">
        <v>14.8</v>
      </c>
      <c r="G15" s="120">
        <v>0.5</v>
      </c>
      <c r="H15" s="121">
        <v>400</v>
      </c>
      <c r="I15" s="120">
        <v>12.5</v>
      </c>
      <c r="J15" s="121">
        <v>20</v>
      </c>
      <c r="K15" s="120">
        <v>27</v>
      </c>
      <c r="L15" s="120">
        <v>1.35</v>
      </c>
      <c r="M15" s="119"/>
      <c r="N15" s="119" t="s">
        <v>408</v>
      </c>
      <c r="O15" s="119" t="s">
        <v>409</v>
      </c>
    </row>
    <row r="16" spans="1:15" ht="15" customHeight="1">
      <c r="D16" s="119" t="s">
        <v>215</v>
      </c>
      <c r="E16" s="119" t="s">
        <v>443</v>
      </c>
      <c r="F16" s="120">
        <v>16</v>
      </c>
      <c r="G16" s="120">
        <v>0.5</v>
      </c>
      <c r="H16" s="121">
        <v>420</v>
      </c>
      <c r="I16" s="120">
        <v>11.9</v>
      </c>
      <c r="J16" s="121">
        <v>15</v>
      </c>
      <c r="K16" s="120">
        <v>26.3</v>
      </c>
      <c r="L16" s="120">
        <v>0.94</v>
      </c>
      <c r="M16" s="119"/>
      <c r="N16" s="119" t="s">
        <v>410</v>
      </c>
      <c r="O16" s="119" t="s">
        <v>411</v>
      </c>
    </row>
    <row r="17" spans="3:15" ht="15" customHeight="1">
      <c r="D17" s="119" t="s">
        <v>215</v>
      </c>
      <c r="E17" s="119" t="s">
        <v>444</v>
      </c>
      <c r="F17" s="120">
        <v>15</v>
      </c>
      <c r="G17" s="120">
        <v>0.3</v>
      </c>
      <c r="H17" s="121">
        <v>350</v>
      </c>
      <c r="I17" s="120">
        <v>8.57</v>
      </c>
      <c r="J17" s="121">
        <v>30</v>
      </c>
      <c r="K17" s="120">
        <v>23.3</v>
      </c>
      <c r="L17" s="120">
        <v>2</v>
      </c>
      <c r="M17" s="119"/>
      <c r="N17" s="119" t="s">
        <v>412</v>
      </c>
      <c r="O17" s="119" t="s">
        <v>413</v>
      </c>
    </row>
    <row r="18" spans="3:15" ht="15" customHeight="1">
      <c r="D18" s="119" t="s">
        <v>215</v>
      </c>
      <c r="E18" s="119" t="s">
        <v>445</v>
      </c>
      <c r="F18" s="120">
        <v>17</v>
      </c>
      <c r="G18" s="120">
        <v>0.3</v>
      </c>
      <c r="H18" s="121">
        <v>190</v>
      </c>
      <c r="I18" s="120">
        <v>15.79</v>
      </c>
      <c r="J18" s="121">
        <v>38</v>
      </c>
      <c r="K18" s="120">
        <v>11.2</v>
      </c>
      <c r="L18" s="120">
        <v>2.2400000000000002</v>
      </c>
      <c r="M18" s="119"/>
      <c r="N18" s="119" t="s">
        <v>414</v>
      </c>
      <c r="O18" s="119" t="s">
        <v>415</v>
      </c>
    </row>
    <row r="19" spans="3:15" ht="15" customHeight="1"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3:15" ht="15" customHeight="1"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3:15" ht="15" customHeight="1">
      <c r="C21" s="1" t="s">
        <v>0</v>
      </c>
      <c r="D21" s="71" t="s">
        <v>446</v>
      </c>
      <c r="E21" s="71"/>
      <c r="F21" s="71"/>
      <c r="G21" s="71"/>
      <c r="H21" s="15"/>
      <c r="I21" s="15"/>
      <c r="J21" s="15"/>
      <c r="K21" s="15"/>
      <c r="L21" s="15"/>
      <c r="M21" s="15"/>
      <c r="N21" s="15"/>
      <c r="O21" s="15"/>
    </row>
    <row r="22" spans="3:15" ht="15" customHeight="1">
      <c r="D22" s="115" t="s">
        <v>364</v>
      </c>
      <c r="E22" s="115" t="s">
        <v>447</v>
      </c>
      <c r="F22" s="115" t="s">
        <v>365</v>
      </c>
      <c r="G22" s="115" t="s">
        <v>448</v>
      </c>
      <c r="H22" s="15"/>
      <c r="I22" s="15"/>
      <c r="J22" s="15"/>
      <c r="K22" s="15"/>
      <c r="L22" s="15"/>
      <c r="M22" s="15"/>
      <c r="N22" s="15"/>
      <c r="O22" s="15"/>
    </row>
    <row r="23" spans="3:15" ht="15" customHeight="1">
      <c r="D23" s="15" t="s">
        <v>449</v>
      </c>
      <c r="E23" s="15" t="s">
        <v>450</v>
      </c>
      <c r="F23" s="114">
        <f>AVERAGE(K5:K13)</f>
        <v>18.866666666666667</v>
      </c>
      <c r="G23" s="114">
        <f>AVERAGE(L5:L7)</f>
        <v>6.02</v>
      </c>
      <c r="H23" s="15"/>
      <c r="I23" s="15"/>
      <c r="J23" s="15"/>
      <c r="K23" s="15"/>
      <c r="L23" s="15"/>
      <c r="M23" s="15"/>
      <c r="N23" s="15"/>
      <c r="O23" s="15"/>
    </row>
    <row r="24" spans="3:15" ht="15" customHeight="1">
      <c r="D24" s="15" t="s">
        <v>451</v>
      </c>
      <c r="E24" s="15" t="s">
        <v>452</v>
      </c>
      <c r="F24" s="114">
        <f>AVERAGE(K5:K11)</f>
        <v>20.428571428571427</v>
      </c>
      <c r="G24" s="114">
        <f>AVERAGE(L5:L7)</f>
        <v>6.02</v>
      </c>
      <c r="H24" s="15"/>
      <c r="I24" s="15"/>
      <c r="J24" s="15"/>
      <c r="K24" s="15"/>
      <c r="L24" s="15"/>
      <c r="M24" s="15"/>
      <c r="N24" s="15"/>
      <c r="O24" s="15"/>
    </row>
    <row r="25" spans="3:15" ht="15" customHeight="1">
      <c r="D25" s="15" t="s">
        <v>453</v>
      </c>
      <c r="E25" s="15" t="s">
        <v>454</v>
      </c>
      <c r="F25" s="114">
        <f>MEDIAN(K5:K13)</f>
        <v>18.899999999999999</v>
      </c>
      <c r="G25" s="114">
        <f>MEDIAN(L5:L7)</f>
        <v>7.3</v>
      </c>
      <c r="H25" s="15"/>
      <c r="I25" s="15"/>
      <c r="J25" s="15"/>
      <c r="K25" s="15"/>
      <c r="L25" s="15"/>
      <c r="M25" s="15"/>
      <c r="N25" s="15"/>
      <c r="O25" s="15"/>
    </row>
    <row r="26" spans="3:15" ht="15" customHeight="1">
      <c r="D26" s="15" t="s">
        <v>455</v>
      </c>
      <c r="E26" s="15" t="s">
        <v>456</v>
      </c>
      <c r="F26" s="114">
        <f>AVERAGE(K5:K6)</f>
        <v>22.9</v>
      </c>
      <c r="G26" s="114">
        <f>AVERAGE(L5:L6)</f>
        <v>7.3</v>
      </c>
      <c r="H26" s="15"/>
      <c r="I26" s="15"/>
      <c r="J26" s="15"/>
      <c r="K26" s="15"/>
      <c r="L26" s="15"/>
      <c r="M26" s="15"/>
      <c r="N26" s="15"/>
      <c r="O26" s="15"/>
    </row>
    <row r="27" spans="3:15" ht="15" customHeight="1">
      <c r="D27" s="15" t="s">
        <v>457</v>
      </c>
      <c r="E27" s="15" t="s">
        <v>458</v>
      </c>
      <c r="F27" s="114">
        <f>AVERAGE(K15:K17)</f>
        <v>25.533333333333331</v>
      </c>
      <c r="G27" s="114">
        <f>AVERAGE(L15:L17)</f>
        <v>1.43</v>
      </c>
      <c r="H27" s="15"/>
      <c r="I27" s="15"/>
      <c r="J27" s="15"/>
      <c r="K27" s="15"/>
      <c r="L27" s="15"/>
      <c r="M27" s="15"/>
      <c r="N27" s="15"/>
      <c r="O27" s="15"/>
    </row>
    <row r="28" spans="3:15" ht="15" customHeight="1">
      <c r="D28" s="15" t="s">
        <v>459</v>
      </c>
      <c r="E28" s="15" t="s">
        <v>460</v>
      </c>
      <c r="F28" s="114">
        <f>MEDIAN(K15:K17)</f>
        <v>26.3</v>
      </c>
      <c r="G28" s="114">
        <f>MEDIAN(L15:L17)</f>
        <v>1.35</v>
      </c>
      <c r="H28" s="15"/>
      <c r="I28" s="15"/>
      <c r="J28" s="15"/>
      <c r="K28" s="15"/>
      <c r="L28" s="15"/>
      <c r="M28" s="15"/>
      <c r="N28" s="15"/>
      <c r="O28" s="15"/>
    </row>
    <row r="29" spans="3:15" ht="15" customHeight="1">
      <c r="D29" s="15" t="s">
        <v>461</v>
      </c>
      <c r="E29" s="15" t="s">
        <v>462</v>
      </c>
      <c r="F29" s="114">
        <f>AVERAGE(K15:K16)</f>
        <v>26.65</v>
      </c>
      <c r="G29" s="114">
        <f>AVERAGE(L15:L16)</f>
        <v>1.145</v>
      </c>
      <c r="H29" s="15"/>
      <c r="I29" s="15"/>
      <c r="J29" s="15"/>
      <c r="K29" s="15"/>
      <c r="L29" s="15"/>
      <c r="M29" s="15"/>
      <c r="N29" s="15"/>
      <c r="O29" s="15"/>
    </row>
    <row r="30" spans="3:15" ht="15" customHeight="1">
      <c r="D30" s="15" t="s">
        <v>463</v>
      </c>
      <c r="E30" s="15" t="s">
        <v>464</v>
      </c>
      <c r="F30" s="114">
        <f>K15</f>
        <v>27</v>
      </c>
      <c r="G30" s="114">
        <f>L15</f>
        <v>1.35</v>
      </c>
      <c r="H30" s="15"/>
      <c r="I30" s="15"/>
      <c r="J30" s="15"/>
      <c r="K30" s="15"/>
      <c r="L30" s="15"/>
      <c r="M30" s="15"/>
      <c r="N30" s="15"/>
      <c r="O30" s="15"/>
    </row>
    <row r="31" spans="3:15" ht="15" customHeight="1"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3:15" ht="15" customHeight="1"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4:15" ht="15" customHeight="1"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4:15" ht="15" customHeight="1"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spans="4:15" ht="15" customHeight="1"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4:15" ht="15" customHeight="1"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 spans="4:15" ht="15" customHeight="1"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spans="4:15" ht="15" customHeight="1"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4:15" ht="15" customHeight="1"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4:15" ht="15" customHeight="1"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4:15" ht="15" customHeight="1"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spans="4:15" ht="15" customHeight="1"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spans="4:15" ht="15" customHeight="1"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spans="4:15" ht="15" customHeight="1"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spans="4:15" ht="15" customHeight="1"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spans="4:15" ht="15" customHeight="1"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</row>
    <row r="47" spans="4:15" ht="15" customHeight="1"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4:15" ht="15" customHeight="1"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 spans="4:15" ht="15" customHeight="1"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</row>
    <row r="50" spans="4:15" ht="15" customHeight="1"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spans="4:15" ht="15" customHeight="1"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4:15" ht="15" customHeight="1"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spans="4:15" ht="15" customHeight="1"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</row>
    <row r="54" spans="4:15" ht="15" customHeight="1"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</row>
    <row r="55" spans="4:15" ht="15" customHeight="1"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</row>
    <row r="56" spans="4:15" ht="15" customHeight="1"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</row>
    <row r="57" spans="4:15" ht="15" customHeight="1"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</row>
    <row r="58" spans="4:15" ht="15" customHeight="1"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  <row r="59" spans="4:15" ht="15" customHeight="1"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spans="4:15" ht="15" customHeight="1"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</row>
  </sheetData>
  <phoneticPr fontId="2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6" tint="0.79992065187536243"/>
  </sheetPr>
  <dimension ref="A1:O60"/>
  <sheetViews>
    <sheetView showGridLines="0" zoomScale="55" zoomScaleNormal="55" workbookViewId="0"/>
  </sheetViews>
  <sheetFormatPr defaultColWidth="30.69921875" defaultRowHeight="17.399999999999999"/>
  <cols>
    <col min="1" max="3" width="1.69921875" style="1" customWidth="1"/>
    <col min="4" max="16384" width="30.69921875" style="1"/>
  </cols>
  <sheetData>
    <row r="1" spans="1:15" s="73" customFormat="1" ht="15" customHeight="1">
      <c r="A1" s="71" t="s">
        <v>465</v>
      </c>
      <c r="B1" s="71"/>
      <c r="C1" s="71"/>
      <c r="D1" s="71"/>
      <c r="E1" s="71"/>
      <c r="F1" s="71"/>
      <c r="G1" s="71"/>
      <c r="H1" s="71"/>
      <c r="I1" s="72"/>
      <c r="J1" s="72"/>
      <c r="K1" s="72"/>
      <c r="L1" s="72"/>
    </row>
    <row r="2" spans="1:15" ht="15" customHeight="1">
      <c r="D2" s="113" t="s">
        <v>466</v>
      </c>
      <c r="E2" s="113"/>
      <c r="F2" s="113"/>
      <c r="G2" s="113"/>
      <c r="H2" s="113"/>
      <c r="I2" s="113"/>
      <c r="J2" s="113"/>
      <c r="K2" s="113"/>
      <c r="L2" s="15"/>
      <c r="M2" s="15"/>
      <c r="N2" s="15"/>
      <c r="O2" s="15"/>
    </row>
    <row r="3" spans="1:15" ht="15" customHeight="1"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ht="15" customHeight="1">
      <c r="C4" s="1" t="s">
        <v>0</v>
      </c>
      <c r="D4" s="71" t="s">
        <v>467</v>
      </c>
      <c r="E4" s="71"/>
      <c r="F4" s="71"/>
      <c r="G4" s="71"/>
      <c r="H4" s="15"/>
      <c r="I4" s="15"/>
      <c r="J4" s="15"/>
      <c r="K4" s="15"/>
      <c r="L4" s="15"/>
      <c r="M4" s="15"/>
      <c r="N4" s="15"/>
      <c r="O4" s="15"/>
    </row>
    <row r="5" spans="1:15" ht="15" customHeight="1">
      <c r="D5" s="124" t="s">
        <v>60</v>
      </c>
      <c r="E5" s="124" t="s">
        <v>61</v>
      </c>
      <c r="F5" s="124" t="s">
        <v>62</v>
      </c>
      <c r="G5" s="124" t="s">
        <v>63</v>
      </c>
      <c r="H5" s="15"/>
      <c r="I5" s="15"/>
      <c r="J5" s="15"/>
      <c r="K5" s="15"/>
      <c r="L5" s="15"/>
      <c r="M5" s="15"/>
      <c r="N5" s="15"/>
      <c r="O5" s="15"/>
    </row>
    <row r="6" spans="1:15" ht="15" customHeight="1">
      <c r="D6" s="15" t="s">
        <v>468</v>
      </c>
      <c r="E6" s="125">
        <f>'Peer Comps'!F24</f>
        <v>20.428571428571427</v>
      </c>
      <c r="F6" s="15" t="s">
        <v>469</v>
      </c>
      <c r="G6" s="15" t="s">
        <v>470</v>
      </c>
      <c r="H6" s="15"/>
      <c r="I6" s="15"/>
      <c r="J6" s="15"/>
      <c r="K6" s="15"/>
      <c r="L6" s="15"/>
      <c r="M6" s="15"/>
      <c r="N6" s="15"/>
      <c r="O6" s="15"/>
    </row>
    <row r="7" spans="1:15" ht="15" customHeight="1">
      <c r="D7" s="15" t="s">
        <v>471</v>
      </c>
      <c r="E7" s="125">
        <f>'Peer Comps'!F28</f>
        <v>26.3</v>
      </c>
      <c r="F7" s="15" t="s">
        <v>469</v>
      </c>
      <c r="G7" s="15" t="s">
        <v>472</v>
      </c>
      <c r="H7" s="15"/>
      <c r="I7" s="15"/>
      <c r="J7" s="15"/>
      <c r="K7" s="15"/>
      <c r="L7" s="15"/>
      <c r="M7" s="15"/>
      <c r="N7" s="15"/>
      <c r="O7" s="15"/>
    </row>
    <row r="8" spans="1:15" ht="15" customHeight="1">
      <c r="D8" s="15" t="s">
        <v>473</v>
      </c>
      <c r="E8" s="125">
        <f>'Peer Comps'!G26</f>
        <v>7.3</v>
      </c>
      <c r="F8" s="15" t="s">
        <v>469</v>
      </c>
      <c r="G8" s="15" t="s">
        <v>474</v>
      </c>
      <c r="H8" s="15"/>
      <c r="I8" s="15"/>
      <c r="J8" s="15"/>
      <c r="K8" s="15"/>
      <c r="L8" s="15"/>
      <c r="M8" s="15"/>
      <c r="N8" s="15"/>
      <c r="O8" s="15"/>
    </row>
    <row r="9" spans="1:15" ht="15" customHeight="1">
      <c r="D9" s="15" t="s">
        <v>475</v>
      </c>
      <c r="E9" s="125">
        <f>AVERAGE('Peer Comps'!L15:L18)</f>
        <v>1.6325000000000001</v>
      </c>
      <c r="F9" s="15" t="s">
        <v>469</v>
      </c>
      <c r="G9" s="15" t="s">
        <v>476</v>
      </c>
      <c r="H9" s="15"/>
      <c r="I9" s="15"/>
      <c r="J9" s="15"/>
      <c r="K9" s="15"/>
      <c r="L9" s="15"/>
      <c r="M9" s="15"/>
      <c r="N9" s="15"/>
      <c r="O9" s="15"/>
    </row>
    <row r="10" spans="1:15" ht="15" customHeight="1"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5" ht="15" customHeight="1"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spans="1:15" ht="15" customHeight="1">
      <c r="C12" s="1" t="s">
        <v>0</v>
      </c>
      <c r="D12" s="71" t="s">
        <v>477</v>
      </c>
      <c r="E12" s="71"/>
      <c r="F12" s="71"/>
      <c r="G12" s="71"/>
      <c r="H12" s="71"/>
      <c r="I12" s="71"/>
      <c r="J12" s="71"/>
      <c r="K12" s="71"/>
      <c r="L12" s="15"/>
      <c r="M12" s="15"/>
      <c r="N12" s="15"/>
      <c r="O12" s="15"/>
    </row>
    <row r="13" spans="1:15" ht="15" customHeight="1">
      <c r="D13" s="124" t="s">
        <v>393</v>
      </c>
      <c r="E13" s="124" t="s">
        <v>206</v>
      </c>
      <c r="F13" s="124" t="s">
        <v>419</v>
      </c>
      <c r="G13" s="124" t="s">
        <v>367</v>
      </c>
      <c r="H13" s="124" t="s">
        <v>371</v>
      </c>
      <c r="I13" s="124" t="s">
        <v>448</v>
      </c>
      <c r="J13" s="124" t="s">
        <v>373</v>
      </c>
      <c r="K13" s="124" t="s">
        <v>375</v>
      </c>
      <c r="L13" s="15"/>
      <c r="M13" s="15"/>
      <c r="N13" s="15"/>
      <c r="O13" s="15"/>
    </row>
    <row r="14" spans="1:15" ht="15" customHeight="1">
      <c r="D14" s="15" t="s">
        <v>210</v>
      </c>
      <c r="E14" s="15" t="s">
        <v>209</v>
      </c>
      <c r="F14" s="114">
        <v>241</v>
      </c>
      <c r="G14" s="114">
        <f t="shared" ref="G14:G19" si="0">$E$6</f>
        <v>20.428571428571427</v>
      </c>
      <c r="H14" s="122">
        <f t="shared" ref="H14:H24" si="1">F14*G14</f>
        <v>4923.2857142857138</v>
      </c>
      <c r="I14" s="114">
        <f t="shared" ref="I14:I19" si="2">$E$8</f>
        <v>7.3</v>
      </c>
      <c r="J14" s="122">
        <f t="shared" ref="J14:J24" si="3">F14*I14</f>
        <v>1759.3</v>
      </c>
      <c r="K14" s="122">
        <f t="shared" ref="K14:K24" si="4">H14+J14</f>
        <v>6682.5857142857139</v>
      </c>
      <c r="L14" s="15"/>
      <c r="M14" s="15"/>
      <c r="N14" s="15"/>
      <c r="O14" s="15"/>
    </row>
    <row r="15" spans="1:15" ht="15" customHeight="1">
      <c r="D15" s="15" t="s">
        <v>210</v>
      </c>
      <c r="E15" s="15" t="s">
        <v>212</v>
      </c>
      <c r="F15" s="114">
        <v>241</v>
      </c>
      <c r="G15" s="114">
        <f t="shared" si="0"/>
        <v>20.428571428571427</v>
      </c>
      <c r="H15" s="122">
        <f t="shared" si="1"/>
        <v>4923.2857142857138</v>
      </c>
      <c r="I15" s="114">
        <f t="shared" si="2"/>
        <v>7.3</v>
      </c>
      <c r="J15" s="122">
        <f t="shared" si="3"/>
        <v>1759.3</v>
      </c>
      <c r="K15" s="122">
        <f t="shared" si="4"/>
        <v>6682.5857142857139</v>
      </c>
      <c r="L15" s="15"/>
      <c r="M15" s="15"/>
      <c r="N15" s="15"/>
      <c r="O15" s="15"/>
    </row>
    <row r="16" spans="1:15" ht="15" customHeight="1">
      <c r="D16" s="15" t="s">
        <v>210</v>
      </c>
      <c r="E16" s="15" t="s">
        <v>213</v>
      </c>
      <c r="F16" s="114">
        <v>241</v>
      </c>
      <c r="G16" s="114">
        <f t="shared" si="0"/>
        <v>20.428571428571427</v>
      </c>
      <c r="H16" s="122">
        <f t="shared" si="1"/>
        <v>4923.2857142857138</v>
      </c>
      <c r="I16" s="114">
        <f t="shared" si="2"/>
        <v>7.3</v>
      </c>
      <c r="J16" s="122">
        <f t="shared" si="3"/>
        <v>1759.3</v>
      </c>
      <c r="K16" s="122">
        <f t="shared" si="4"/>
        <v>6682.5857142857139</v>
      </c>
      <c r="L16" s="15"/>
      <c r="M16" s="15"/>
      <c r="N16" s="15"/>
      <c r="O16" s="15"/>
    </row>
    <row r="17" spans="3:15" ht="15" customHeight="1">
      <c r="D17" s="15" t="s">
        <v>210</v>
      </c>
      <c r="E17" s="15" t="s">
        <v>214</v>
      </c>
      <c r="F17" s="114">
        <v>241</v>
      </c>
      <c r="G17" s="114">
        <f t="shared" si="0"/>
        <v>20.428571428571427</v>
      </c>
      <c r="H17" s="122">
        <f t="shared" si="1"/>
        <v>4923.2857142857138</v>
      </c>
      <c r="I17" s="114">
        <f t="shared" si="2"/>
        <v>7.3</v>
      </c>
      <c r="J17" s="122">
        <f t="shared" si="3"/>
        <v>1759.3</v>
      </c>
      <c r="K17" s="122">
        <f t="shared" si="4"/>
        <v>6682.5857142857139</v>
      </c>
      <c r="L17" s="15"/>
      <c r="M17" s="15"/>
      <c r="N17" s="15"/>
      <c r="O17" s="15"/>
    </row>
    <row r="18" spans="3:15" ht="15" customHeight="1">
      <c r="D18" s="15" t="s">
        <v>210</v>
      </c>
      <c r="E18" s="15" t="s">
        <v>216</v>
      </c>
      <c r="F18" s="114">
        <v>241</v>
      </c>
      <c r="G18" s="114">
        <f t="shared" si="0"/>
        <v>20.428571428571427</v>
      </c>
      <c r="H18" s="122">
        <f t="shared" si="1"/>
        <v>4923.2857142857138</v>
      </c>
      <c r="I18" s="114">
        <f t="shared" si="2"/>
        <v>7.3</v>
      </c>
      <c r="J18" s="122">
        <f t="shared" si="3"/>
        <v>1759.3</v>
      </c>
      <c r="K18" s="122">
        <f t="shared" si="4"/>
        <v>6682.5857142857139</v>
      </c>
      <c r="L18" s="15"/>
      <c r="M18" s="15"/>
      <c r="N18" s="15"/>
      <c r="O18" s="15"/>
    </row>
    <row r="19" spans="3:15" ht="15" customHeight="1">
      <c r="D19" s="15" t="s">
        <v>210</v>
      </c>
      <c r="E19" s="15" t="s">
        <v>217</v>
      </c>
      <c r="F19" s="114">
        <v>241</v>
      </c>
      <c r="G19" s="114">
        <f t="shared" si="0"/>
        <v>20.428571428571427</v>
      </c>
      <c r="H19" s="122">
        <f t="shared" si="1"/>
        <v>4923.2857142857138</v>
      </c>
      <c r="I19" s="114">
        <f t="shared" si="2"/>
        <v>7.3</v>
      </c>
      <c r="J19" s="122">
        <f t="shared" si="3"/>
        <v>1759.3</v>
      </c>
      <c r="K19" s="122">
        <f t="shared" si="4"/>
        <v>6682.5857142857139</v>
      </c>
      <c r="L19" s="15"/>
      <c r="M19" s="15"/>
      <c r="N19" s="15"/>
      <c r="O19" s="15"/>
    </row>
    <row r="20" spans="3:15" ht="15" customHeight="1">
      <c r="D20" s="15" t="s">
        <v>215</v>
      </c>
      <c r="E20" s="15" t="s">
        <v>218</v>
      </c>
      <c r="F20" s="114">
        <v>232</v>
      </c>
      <c r="G20" s="114">
        <f>$E$7</f>
        <v>26.3</v>
      </c>
      <c r="H20" s="122">
        <f t="shared" si="1"/>
        <v>6101.6</v>
      </c>
      <c r="I20" s="114">
        <f>$E$9</f>
        <v>1.6325000000000001</v>
      </c>
      <c r="J20" s="122">
        <f t="shared" si="3"/>
        <v>378.74</v>
      </c>
      <c r="K20" s="122">
        <f t="shared" si="4"/>
        <v>6480.34</v>
      </c>
      <c r="L20" s="15"/>
      <c r="M20" s="15"/>
      <c r="N20" s="15"/>
      <c r="O20" s="15"/>
    </row>
    <row r="21" spans="3:15" ht="15" customHeight="1">
      <c r="D21" s="15" t="s">
        <v>215</v>
      </c>
      <c r="E21" s="15" t="s">
        <v>219</v>
      </c>
      <c r="F21" s="114">
        <v>324</v>
      </c>
      <c r="G21" s="114">
        <f>$E$7</f>
        <v>26.3</v>
      </c>
      <c r="H21" s="122">
        <f t="shared" si="1"/>
        <v>8521.2000000000007</v>
      </c>
      <c r="I21" s="114">
        <f>$E$9</f>
        <v>1.6325000000000001</v>
      </c>
      <c r="J21" s="122">
        <f t="shared" si="3"/>
        <v>528.93000000000006</v>
      </c>
      <c r="K21" s="122">
        <f t="shared" si="4"/>
        <v>9050.130000000001</v>
      </c>
      <c r="L21" s="15"/>
      <c r="M21" s="15"/>
      <c r="N21" s="15"/>
      <c r="O21" s="15"/>
    </row>
    <row r="22" spans="3:15" ht="15" customHeight="1">
      <c r="D22" s="15" t="s">
        <v>215</v>
      </c>
      <c r="E22" s="15" t="s">
        <v>220</v>
      </c>
      <c r="F22" s="114">
        <v>324</v>
      </c>
      <c r="G22" s="114">
        <f>$E$7</f>
        <v>26.3</v>
      </c>
      <c r="H22" s="122">
        <f t="shared" si="1"/>
        <v>8521.2000000000007</v>
      </c>
      <c r="I22" s="114">
        <f>$E$9</f>
        <v>1.6325000000000001</v>
      </c>
      <c r="J22" s="122">
        <f t="shared" si="3"/>
        <v>528.93000000000006</v>
      </c>
      <c r="K22" s="122">
        <f t="shared" si="4"/>
        <v>9050.130000000001</v>
      </c>
      <c r="L22" s="15"/>
      <c r="M22" s="15"/>
      <c r="N22" s="15"/>
      <c r="O22" s="15"/>
    </row>
    <row r="23" spans="3:15" ht="15" customHeight="1">
      <c r="D23" s="15" t="s">
        <v>215</v>
      </c>
      <c r="E23" s="15" t="s">
        <v>221</v>
      </c>
      <c r="F23" s="114">
        <v>305</v>
      </c>
      <c r="G23" s="114">
        <f>$E$7</f>
        <v>26.3</v>
      </c>
      <c r="H23" s="122">
        <f t="shared" si="1"/>
        <v>8021.5</v>
      </c>
      <c r="I23" s="114">
        <f>$E$9</f>
        <v>1.6325000000000001</v>
      </c>
      <c r="J23" s="122">
        <f t="shared" si="3"/>
        <v>497.91250000000002</v>
      </c>
      <c r="K23" s="122">
        <f t="shared" si="4"/>
        <v>8519.4125000000004</v>
      </c>
      <c r="L23" s="15"/>
      <c r="M23" s="15"/>
      <c r="N23" s="15"/>
      <c r="O23" s="15"/>
    </row>
    <row r="24" spans="3:15" ht="15" customHeight="1">
      <c r="D24" s="15" t="s">
        <v>215</v>
      </c>
      <c r="E24" s="15" t="s">
        <v>222</v>
      </c>
      <c r="F24" s="114">
        <v>176</v>
      </c>
      <c r="G24" s="114">
        <f>$E$7</f>
        <v>26.3</v>
      </c>
      <c r="H24" s="122">
        <f t="shared" si="1"/>
        <v>4628.8</v>
      </c>
      <c r="I24" s="114">
        <f>$E$9</f>
        <v>1.6325000000000001</v>
      </c>
      <c r="J24" s="122">
        <f t="shared" si="3"/>
        <v>287.32</v>
      </c>
      <c r="K24" s="122">
        <f t="shared" si="4"/>
        <v>4916.12</v>
      </c>
      <c r="L24" s="15"/>
      <c r="M24" s="15"/>
      <c r="N24" s="15"/>
      <c r="O24" s="15"/>
    </row>
    <row r="25" spans="3:15" ht="15" customHeight="1"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3:15" ht="15" customHeight="1">
      <c r="D26" s="126" t="s">
        <v>478</v>
      </c>
      <c r="E26" s="126"/>
      <c r="F26" s="126"/>
      <c r="G26" s="126"/>
      <c r="H26" s="127">
        <f>SUM(H14:H24)</f>
        <v>65334.014285714278</v>
      </c>
      <c r="I26" s="127"/>
      <c r="J26" s="127">
        <f>SUM(J14:J24)</f>
        <v>12777.6325</v>
      </c>
      <c r="K26" s="127">
        <f>SUM(K14:K24)</f>
        <v>78111.6467857143</v>
      </c>
      <c r="L26" s="15"/>
      <c r="M26" s="15"/>
      <c r="N26" s="15"/>
      <c r="O26" s="15"/>
    </row>
    <row r="27" spans="3:15" ht="15" customHeight="1"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3:15" ht="15" customHeight="1"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3:15" ht="15" customHeight="1">
      <c r="C29" s="1" t="s">
        <v>0</v>
      </c>
      <c r="D29" s="71" t="s">
        <v>479</v>
      </c>
      <c r="E29" s="71"/>
      <c r="F29" s="71"/>
      <c r="G29" s="71"/>
      <c r="H29" s="71"/>
      <c r="I29" s="71"/>
      <c r="J29" s="71"/>
      <c r="K29" s="71"/>
      <c r="L29" s="15"/>
      <c r="M29" s="15"/>
      <c r="N29" s="15"/>
      <c r="O29" s="15"/>
    </row>
    <row r="30" spans="3:15" ht="15" customHeight="1">
      <c r="D30" s="124" t="s">
        <v>480</v>
      </c>
      <c r="E30" s="124" t="s">
        <v>365</v>
      </c>
      <c r="F30" s="124" t="s">
        <v>421</v>
      </c>
      <c r="G30" s="15"/>
      <c r="H30" s="15"/>
      <c r="I30" s="15"/>
      <c r="J30" s="15"/>
      <c r="K30" s="15"/>
      <c r="L30" s="15"/>
      <c r="M30" s="15"/>
      <c r="N30" s="15"/>
      <c r="O30" s="15"/>
    </row>
    <row r="31" spans="3:15" ht="15" customHeight="1">
      <c r="D31" s="15" t="s">
        <v>481</v>
      </c>
      <c r="E31" s="123">
        <f>'Peer Comps'!F23</f>
        <v>18.866666666666667</v>
      </c>
      <c r="F31" s="17">
        <f>241*E31</f>
        <v>4546.8666666666668</v>
      </c>
      <c r="G31" s="15"/>
      <c r="H31" s="15"/>
      <c r="I31" s="15"/>
      <c r="J31" s="15"/>
      <c r="K31" s="15"/>
      <c r="L31" s="15"/>
      <c r="M31" s="15"/>
      <c r="N31" s="15"/>
      <c r="O31" s="15"/>
    </row>
    <row r="32" spans="3:15" ht="15" customHeight="1">
      <c r="D32" s="15" t="s">
        <v>482</v>
      </c>
      <c r="E32" s="123">
        <f>'Peer Comps'!F24</f>
        <v>20.428571428571427</v>
      </c>
      <c r="F32" s="17">
        <f>241*E32</f>
        <v>4923.2857142857138</v>
      </c>
      <c r="G32" s="15"/>
      <c r="H32" s="15"/>
      <c r="I32" s="15"/>
      <c r="J32" s="15"/>
      <c r="K32" s="15"/>
      <c r="L32" s="15"/>
      <c r="M32" s="15"/>
      <c r="N32" s="15"/>
      <c r="O32" s="15"/>
    </row>
    <row r="33" spans="4:15" ht="15" customHeight="1">
      <c r="D33" s="15" t="s">
        <v>359</v>
      </c>
      <c r="E33" s="123">
        <f>'Peer Comps'!F25</f>
        <v>18.899999999999999</v>
      </c>
      <c r="F33" s="17">
        <f>241*E33</f>
        <v>4554.8999999999996</v>
      </c>
      <c r="G33" s="15"/>
      <c r="H33" s="15"/>
      <c r="I33" s="15"/>
      <c r="J33" s="15"/>
      <c r="K33" s="15"/>
      <c r="L33" s="15"/>
      <c r="M33" s="15"/>
      <c r="N33" s="15"/>
      <c r="O33" s="15"/>
    </row>
    <row r="34" spans="4:15" ht="15" customHeight="1">
      <c r="D34" s="15" t="s">
        <v>350</v>
      </c>
      <c r="E34" s="123">
        <f>'Peer Comps'!F26</f>
        <v>22.9</v>
      </c>
      <c r="F34" s="17">
        <f>241*E34</f>
        <v>5518.9</v>
      </c>
      <c r="G34" s="15"/>
      <c r="H34" s="15"/>
      <c r="I34" s="15"/>
      <c r="J34" s="15"/>
      <c r="K34" s="15"/>
      <c r="L34" s="15"/>
      <c r="M34" s="15"/>
      <c r="N34" s="15"/>
      <c r="O34" s="15"/>
    </row>
    <row r="35" spans="4:15" ht="15" customHeight="1"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4:15" ht="15" customHeight="1"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 spans="4:15" ht="15" customHeight="1"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spans="4:15" ht="15" customHeight="1"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4:15" ht="15" customHeight="1">
      <c r="D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4:15" ht="15" customHeight="1">
      <c r="D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4:15" ht="15" customHeight="1">
      <c r="D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spans="4:15" ht="15" customHeight="1">
      <c r="D42" s="15"/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spans="4:15" ht="15" customHeight="1"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spans="4:15" ht="15" customHeight="1"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spans="4:15" ht="15" customHeight="1"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spans="4:15" ht="15" customHeight="1"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</row>
    <row r="47" spans="4:15" ht="15" customHeight="1"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4:15" ht="15" customHeight="1"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 spans="4:15" ht="15" customHeight="1"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</row>
    <row r="50" spans="4:15" ht="15" customHeight="1"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spans="4:15" ht="15" customHeight="1"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4:15" ht="15" customHeight="1"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spans="4:15" ht="15" customHeight="1"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</row>
    <row r="54" spans="4:15" ht="15" customHeight="1"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</row>
    <row r="55" spans="4:15" ht="15" customHeight="1"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</row>
    <row r="56" spans="4:15" ht="15" customHeight="1"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</row>
    <row r="57" spans="4:15" ht="15" customHeight="1"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</row>
    <row r="58" spans="4:15" ht="15" customHeight="1"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  <row r="59" spans="4:15" ht="15" customHeight="1"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spans="4:15" ht="15" customHeight="1"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</row>
  </sheetData>
  <phoneticPr fontId="26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2" tint="-9.9978637043366805E-2"/>
  </sheetPr>
  <dimension ref="A1"/>
  <sheetViews>
    <sheetView zoomScale="85" zoomScaleNormal="85" workbookViewId="0"/>
  </sheetViews>
  <sheetFormatPr defaultRowHeight="17.399999999999999"/>
  <sheetData/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README</vt:lpstr>
      <vt:lpstr>Summary</vt:lpstr>
      <vt:lpstr>CF &amp; CoC &gt;&gt;&gt;</vt:lpstr>
      <vt:lpstr>Assumptions</vt:lpstr>
      <vt:lpstr>Operating CF</vt:lpstr>
      <vt:lpstr>Exit &amp; Risk Analysis</vt:lpstr>
      <vt:lpstr>Dev PF</vt:lpstr>
      <vt:lpstr>Assumptions Reason &gt;&gt;&gt;</vt:lpstr>
      <vt:lpstr>Total Development Cost</vt:lpstr>
      <vt:lpstr>Exit Value Reason</vt:lpstr>
      <vt:lpstr>임대료 (NOI 산출) &gt;&gt;&gt;</vt:lpstr>
      <vt:lpstr>임대료 Summary</vt:lpstr>
      <vt:lpstr>Methodology</vt:lpstr>
      <vt:lpstr>Peer Comps</vt:lpstr>
      <vt:lpstr>Target Rent</vt:lpstr>
      <vt:lpstr>Raw Data &gt;&gt;&gt;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아나 음</cp:lastModifiedBy>
  <dcterms:created xsi:type="dcterms:W3CDTF">2026-08-11T05:43:09Z</dcterms:created>
  <dcterms:modified xsi:type="dcterms:W3CDTF">2026-08-11T05:56:25Z</dcterms:modified>
</cp:coreProperties>
</file>