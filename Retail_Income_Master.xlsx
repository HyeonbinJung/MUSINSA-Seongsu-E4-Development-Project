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4F8FE87-E5FC-41D4-BB11-4B2FCA057C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ME (2)" sheetId="18" r:id="rId1"/>
    <sheet name="Floor Income &gt;&gt;&gt;" sheetId="8" r:id="rId2"/>
    <sheet name="Income Summary" sheetId="6" r:id="rId3"/>
    <sheet name="1F Income" sheetId="1" r:id="rId4"/>
    <sheet name="2F Income" sheetId="3" r:id="rId5"/>
    <sheet name="3F Income" sheetId="4" r:id="rId6"/>
    <sheet name="4F Income" sheetId="5" r:id="rId7"/>
    <sheet name="5F Income" sheetId="9" r:id="rId8"/>
    <sheet name="6F Income" sheetId="11" r:id="rId9"/>
    <sheet name="7F Income" sheetId="12" r:id="rId10"/>
    <sheet name="8F Income" sheetId="13" r:id="rId11"/>
    <sheet name="Assumptions &gt;&gt;&gt;" sheetId="7" r:id="rId12"/>
    <sheet name="Peer Income" sheetId="2" r:id="rId13"/>
    <sheet name="Fixed Store Peer Calc" sheetId="10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8" l="1"/>
  <c r="G7" i="18"/>
  <c r="G8" i="18"/>
  <c r="M24" i="10" l="1"/>
  <c r="Q23" i="10"/>
  <c r="M23" i="10"/>
  <c r="N23" i="10" s="1"/>
  <c r="Q22" i="10"/>
  <c r="M22" i="10"/>
  <c r="L22" i="10"/>
  <c r="N22" i="10" s="1"/>
  <c r="Q21" i="10"/>
  <c r="M21" i="10"/>
  <c r="L21" i="10"/>
  <c r="N21" i="10" s="1"/>
  <c r="Q20" i="10"/>
  <c r="M20" i="10"/>
  <c r="N20" i="10" s="1"/>
  <c r="M70" i="2" s="1"/>
  <c r="L70" i="2" s="1"/>
  <c r="L20" i="10"/>
  <c r="Q19" i="10"/>
  <c r="M19" i="10"/>
  <c r="L19" i="10"/>
  <c r="N19" i="10" s="1"/>
  <c r="Q18" i="10"/>
  <c r="M18" i="10"/>
  <c r="L18" i="10"/>
  <c r="N18" i="10" s="1"/>
  <c r="Q17" i="10"/>
  <c r="M17" i="10"/>
  <c r="L17" i="10"/>
  <c r="N17" i="10" s="1"/>
  <c r="Q16" i="10"/>
  <c r="M16" i="10"/>
  <c r="N16" i="10" s="1"/>
  <c r="M66" i="2" s="1"/>
  <c r="L66" i="2" s="1"/>
  <c r="L16" i="10"/>
  <c r="L20" i="13"/>
  <c r="L20" i="12"/>
  <c r="L20" i="11"/>
  <c r="L20" i="9"/>
  <c r="M19" i="5"/>
  <c r="G19" i="5"/>
  <c r="K19" i="5" s="1"/>
  <c r="N9" i="6" s="1"/>
  <c r="M18" i="5"/>
  <c r="G18" i="5"/>
  <c r="K18" i="5" s="1"/>
  <c r="M9" i="6" s="1"/>
  <c r="M17" i="5"/>
  <c r="E10" i="5"/>
  <c r="G20" i="5" s="1"/>
  <c r="K20" i="5" s="1"/>
  <c r="O9" i="6" s="1"/>
  <c r="E9" i="5"/>
  <c r="E8" i="5"/>
  <c r="E7" i="5"/>
  <c r="G17" i="5" s="1"/>
  <c r="K17" i="5" s="1"/>
  <c r="M18" i="4"/>
  <c r="M17" i="4"/>
  <c r="M16" i="4"/>
  <c r="G16" i="4"/>
  <c r="K16" i="4" s="1"/>
  <c r="E9" i="4"/>
  <c r="G18" i="4" s="1"/>
  <c r="K18" i="4" s="1"/>
  <c r="N8" i="6" s="1"/>
  <c r="E8" i="4"/>
  <c r="G17" i="4" s="1"/>
  <c r="K17" i="4" s="1"/>
  <c r="M8" i="6" s="1"/>
  <c r="E7" i="4"/>
  <c r="M18" i="3"/>
  <c r="G18" i="3"/>
  <c r="K18" i="3" s="1"/>
  <c r="N7" i="6" s="1"/>
  <c r="M17" i="3"/>
  <c r="G17" i="3"/>
  <c r="K17" i="3" s="1"/>
  <c r="M7" i="6" s="1"/>
  <c r="M16" i="3"/>
  <c r="E9" i="3"/>
  <c r="E8" i="3"/>
  <c r="E7" i="3"/>
  <c r="G16" i="3" s="1"/>
  <c r="K16" i="3" s="1"/>
  <c r="M18" i="1"/>
  <c r="G18" i="1"/>
  <c r="K18" i="1" s="1"/>
  <c r="N6" i="6" s="1"/>
  <c r="M17" i="1"/>
  <c r="M16" i="1"/>
  <c r="E9" i="1"/>
  <c r="E8" i="1"/>
  <c r="G17" i="1" s="1"/>
  <c r="K17" i="1" s="1"/>
  <c r="M6" i="6" s="1"/>
  <c r="E7" i="1"/>
  <c r="G16" i="1" s="1"/>
  <c r="K16" i="1" s="1"/>
  <c r="Q15" i="6"/>
  <c r="M75" i="2"/>
  <c r="Q74" i="2"/>
  <c r="M74" i="2"/>
  <c r="L74" i="2" s="1"/>
  <c r="K74" i="2"/>
  <c r="Q73" i="2"/>
  <c r="K73" i="2"/>
  <c r="K72" i="2"/>
  <c r="K71" i="2"/>
  <c r="K70" i="2"/>
  <c r="K69" i="2"/>
  <c r="K68" i="2"/>
  <c r="K67" i="2"/>
  <c r="K66" i="2"/>
  <c r="S63" i="2"/>
  <c r="P63" i="2"/>
  <c r="S62" i="2"/>
  <c r="P62" i="2"/>
  <c r="L59" i="2"/>
  <c r="P55" i="2"/>
  <c r="P54" i="2"/>
  <c r="P53" i="2"/>
  <c r="S52" i="2"/>
  <c r="P52" i="2"/>
  <c r="P51" i="2"/>
  <c r="S50" i="2"/>
  <c r="P50" i="2"/>
  <c r="P49" i="2"/>
  <c r="S48" i="2"/>
  <c r="P48" i="2"/>
  <c r="P47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E11" i="5" s="1"/>
  <c r="G21" i="5" s="1"/>
  <c r="K21" i="5" s="1"/>
  <c r="E11" i="2"/>
  <c r="E10" i="2"/>
  <c r="E9" i="2"/>
  <c r="E8" i="2"/>
  <c r="K20" i="1" l="1"/>
  <c r="L6" i="6"/>
  <c r="K20" i="3"/>
  <c r="L7" i="6"/>
  <c r="O18" i="10"/>
  <c r="M68" i="2"/>
  <c r="L68" i="2" s="1"/>
  <c r="R23" i="10"/>
  <c r="E7" i="13" s="1"/>
  <c r="M73" i="2"/>
  <c r="L73" i="2" s="1"/>
  <c r="O17" i="10"/>
  <c r="M67" i="2"/>
  <c r="L67" i="2" s="1"/>
  <c r="O21" i="10"/>
  <c r="M71" i="2"/>
  <c r="L71" i="2" s="1"/>
  <c r="M72" i="2"/>
  <c r="L72" i="2" s="1"/>
  <c r="O22" i="10"/>
  <c r="K20" i="4"/>
  <c r="L8" i="6"/>
  <c r="O19" i="10"/>
  <c r="M69" i="2"/>
  <c r="L69" i="2" s="1"/>
  <c r="K23" i="5"/>
  <c r="L9" i="6"/>
  <c r="O20" i="10"/>
  <c r="O16" i="10"/>
  <c r="R21" i="10" l="1"/>
  <c r="Q71" i="2"/>
  <c r="L18" i="5"/>
  <c r="L21" i="5"/>
  <c r="P9" i="6"/>
  <c r="L20" i="5"/>
  <c r="L17" i="5"/>
  <c r="L19" i="5"/>
  <c r="R19" i="10"/>
  <c r="Q69" i="2"/>
  <c r="L17" i="3"/>
  <c r="L16" i="3"/>
  <c r="P7" i="6"/>
  <c r="L18" i="3"/>
  <c r="Q70" i="2"/>
  <c r="R20" i="10"/>
  <c r="E8" i="11" s="1"/>
  <c r="R18" i="10"/>
  <c r="E9" i="9" s="1"/>
  <c r="Q68" i="2"/>
  <c r="L16" i="4"/>
  <c r="L17" i="4"/>
  <c r="P8" i="6"/>
  <c r="L18" i="4"/>
  <c r="Q72" i="2"/>
  <c r="R22" i="10"/>
  <c r="E8" i="12" s="1"/>
  <c r="Q66" i="2"/>
  <c r="R16" i="10"/>
  <c r="R17" i="10"/>
  <c r="E8" i="9" s="1"/>
  <c r="Q67" i="2"/>
  <c r="L17" i="1"/>
  <c r="L16" i="1"/>
  <c r="L18" i="1"/>
  <c r="P6" i="6"/>
  <c r="G30" i="10" l="1"/>
  <c r="E7" i="11"/>
  <c r="G29" i="10"/>
  <c r="E7" i="9"/>
  <c r="E7" i="12"/>
  <c r="G31" i="10"/>
  <c r="E10" i="9" l="1"/>
  <c r="Q77" i="2"/>
  <c r="G16" i="9"/>
  <c r="K16" i="9" s="1"/>
  <c r="M77" i="2"/>
  <c r="L77" i="2" s="1"/>
  <c r="H29" i="10"/>
  <c r="Q79" i="2"/>
  <c r="G16" i="12"/>
  <c r="K16" i="12" s="1"/>
  <c r="M79" i="2"/>
  <c r="L79" i="2" s="1"/>
  <c r="E9" i="12"/>
  <c r="H31" i="10"/>
  <c r="H30" i="10"/>
  <c r="E8" i="13" s="1"/>
  <c r="E9" i="11"/>
  <c r="G32" i="10"/>
  <c r="G16" i="11"/>
  <c r="K16" i="11" s="1"/>
  <c r="Q78" i="2"/>
  <c r="M78" i="2"/>
  <c r="L78" i="2" s="1"/>
  <c r="K20" i="12" l="1"/>
  <c r="P12" i="6" s="1"/>
  <c r="O12" i="6"/>
  <c r="K20" i="9"/>
  <c r="P10" i="6" s="1"/>
  <c r="O10" i="6"/>
  <c r="K20" i="11"/>
  <c r="P11" i="6" s="1"/>
  <c r="O11" i="6"/>
  <c r="L16" i="11"/>
  <c r="H32" i="10"/>
  <c r="M80" i="2"/>
  <c r="L80" i="2" s="1"/>
  <c r="Q80" i="2"/>
  <c r="E9" i="13"/>
  <c r="G16" i="13"/>
  <c r="K16" i="13" s="1"/>
  <c r="L16" i="12" l="1"/>
  <c r="L16" i="9"/>
  <c r="K20" i="13"/>
  <c r="P13" i="6" s="1"/>
  <c r="O13" i="6"/>
  <c r="L16" i="13"/>
  <c r="P15" i="6" l="1"/>
  <c r="Q9" i="6" l="1"/>
  <c r="Q8" i="6"/>
  <c r="Q6" i="6"/>
  <c r="Q7" i="6"/>
  <c r="Q11" i="6"/>
  <c r="Q10" i="6"/>
  <c r="Q12" i="6"/>
  <c r="Q13" i="6"/>
</calcChain>
</file>

<file path=xl/sharedStrings.xml><?xml version="1.0" encoding="utf-8"?>
<sst xmlns="http://schemas.openxmlformats.org/spreadsheetml/2006/main" count="1142" uniqueCount="569">
  <si>
    <t>Peer Unit Sales Benchmark – Store / Popup / Exhibition</t>
  </si>
  <si>
    <t>기업 전체 Revenue / EBITDA / 영업이익은 제외. 공개된 매장 1개 평균 매출, 실제 팝업 1건 매출, 단일 전시장/행사 단위 지표만 사용.</t>
  </si>
  <si>
    <t>Units: Monthly Sales = 만원 / store(or venue) / month | Annual Sales = 억원 / store(or venue) / year | Popup/Event Sales = 억원 / event | Daily Sales = 억원 / day</t>
  </si>
  <si>
    <t>Source convention: FTC information-disclosure based store averages = Actual Avg | reported popup/event sales = Actual Event | derived simple division = Proxy | non-revenue traffic data = Visitor Only</t>
  </si>
  <si>
    <t>X</t>
  </si>
  <si>
    <t>MODEL TAKEAWAYS – UNIT SALES ONLY</t>
  </si>
  <si>
    <t>Metric</t>
  </si>
  <si>
    <t>Value</t>
  </si>
  <si>
    <t>Unit</t>
  </si>
  <si>
    <t>Comment</t>
  </si>
  <si>
    <t>Café peer average monthly sales</t>
  </si>
  <si>
    <t>만원 / store / month</t>
  </si>
  <si>
    <t>단순평균; hybrid·무인·업종평균 포함</t>
  </si>
  <si>
    <t>Café peer median monthly sales</t>
  </si>
  <si>
    <t>극단값 영향을 줄인 중앙값</t>
  </si>
  <si>
    <t>Popup peer average event sales</t>
  </si>
  <si>
    <t>억원 / event</t>
  </si>
  <si>
    <t>운영기간·IP 강도 차이 큼</t>
  </si>
  <si>
    <t>Popup peer median event sales</t>
  </si>
  <si>
    <t>이벤트 매출 중앙값</t>
  </si>
  <si>
    <t>5F Beauty</t>
  </si>
  <si>
    <t>6F Women’s</t>
  </si>
  <si>
    <t>7F Men’s</t>
  </si>
  <si>
    <t>8F Rare &amp; Resale</t>
  </si>
  <si>
    <t>KOMEHYO scaled peer + fashion density cross-check</t>
  </si>
  <si>
    <t>Category</t>
  </si>
  <si>
    <t>Stage / Type</t>
  </si>
  <si>
    <t>Peer / Event</t>
  </si>
  <si>
    <t>Location</t>
  </si>
  <si>
    <t>Benchmark Type</t>
  </si>
  <si>
    <t>Disclosure Basis</t>
  </si>
  <si>
    <t>Reference Period</t>
  </si>
  <si>
    <t>Store / Venue Count (#)</t>
  </si>
  <si>
    <t>Avg Monthly Sales
(만원 / unit / month)</t>
  </si>
  <si>
    <t>Avg Annual Sales
(억원 / unit / year)</t>
  </si>
  <si>
    <t>Popup / Event Sales
(억원 / event)</t>
  </si>
  <si>
    <t>Operating Days (#)</t>
  </si>
  <si>
    <t>Avg Daily Sales
(억원 / day)</t>
  </si>
  <si>
    <t>Annual Sales / Py
(만원 / 평 / 년)</t>
  </si>
  <si>
    <t>Visitors (#)</t>
  </si>
  <si>
    <t>Revenue / Visitor
(만원 / person)</t>
  </si>
  <si>
    <t>Data Quality</t>
  </si>
  <si>
    <t>Source</t>
  </si>
  <si>
    <t>Notes</t>
  </si>
  <si>
    <t>(만원 / unit / month)</t>
  </si>
  <si>
    <t>(억원 / unit / year)</t>
  </si>
  <si>
    <t>(억원 / Event)</t>
  </si>
  <si>
    <t>(억원 / day)</t>
  </si>
  <si>
    <t>(만원 / 평 / 년)</t>
  </si>
  <si>
    <t>(만원 / person)</t>
  </si>
  <si>
    <t>GROUP A | CAFÉ – PUBLIC STORE AVERAGE SALES</t>
  </si>
  <si>
    <t>Café</t>
  </si>
  <si>
    <t>Premium / Large-format</t>
  </si>
  <si>
    <t>A Twosome Place</t>
  </si>
  <si>
    <t>Korea</t>
  </si>
  <si>
    <t>Franchise store average</t>
  </si>
  <si>
    <t>2025 FTC disclosure average franchise-store sales</t>
  </si>
  <si>
    <t>2025 info disclosure</t>
  </si>
  <si>
    <t>Actual Avg</t>
  </si>
  <si>
    <t>https://fchamall.com/franchise-info/%ED%88%AC%EC%8D%B8%ED%94%8C%EB%A0%88%EC%9D%B4%EC%8A%A4</t>
  </si>
  <si>
    <t>공정위 정보공개서 기반. 대형·프리미엄 카페 peer.</t>
  </si>
  <si>
    <t>Value / High-volume</t>
  </si>
  <si>
    <t>Mega MGC Coffee</t>
  </si>
  <si>
    <t>https://fchamall.com/franchise-info/%EB%A9%94%EA%B0%80%EC%97%A0%EC%A7%80%EC%94%A8%EC%BB%A4%ED%94%BC-mega-mgc-coffee</t>
  </si>
  <si>
    <t>매장 1개 기준 평균 매출. 본사 매출과 무관.</t>
  </si>
  <si>
    <t>Compose Coffee</t>
  </si>
  <si>
    <t>https://fchamall.com/franchise-info/%EC%BB%B4%ED%8F%AC%EC%A6%88%EC%BB%A4%ED%94%BC-compose-coffee</t>
  </si>
  <si>
    <t>매장 1개 기준 평균 매출.</t>
  </si>
  <si>
    <t>Paik's Coffee</t>
  </si>
  <si>
    <t>https://fchamall.com/franchise-info/%EB%B9%BD%EB%8B%A4%EB%B0%A9</t>
  </si>
  <si>
    <t>Premium / Mid-large</t>
  </si>
  <si>
    <t>Hollys</t>
  </si>
  <si>
    <t>https://fchamall.com/franchise-info/%ED%95%A0%EB%A6%AC%EC%8A%A4</t>
  </si>
  <si>
    <t>좌석형·대형 매장을 포함하는 premium/mid-large peer.</t>
  </si>
  <si>
    <t>Mid-market</t>
  </si>
  <si>
    <t>Ediya Coffee</t>
  </si>
  <si>
    <t>https://fchamall.com/franchise-info/%EC%9D%B4%EB%94%94%EC%95%BC%EC%BB%A4%ED%94%BC</t>
  </si>
  <si>
    <t>공정위 커피 업종 평균과 가까운 mid-market peer.</t>
  </si>
  <si>
    <t>Value / Take-out</t>
  </si>
  <si>
    <t>The Venti</t>
  </si>
  <si>
    <t>https://fchamall.com/franchise-info/%EB%8D%94%EB%B2%A4%ED%8B%B0</t>
  </si>
  <si>
    <t>테이크아웃 비중 높은 value peer.</t>
  </si>
  <si>
    <t>Specialty / Growth</t>
  </si>
  <si>
    <t>Ten Percent Specialty Coffee</t>
  </si>
  <si>
    <t>https://fchamall.com/franchise-info/%ED%85%90%ED%8D%BC%EC%84%BC%ED%8A%B8%EC%8A%A4%ED%8E%98%EC%85%9C%ED%8B%B0%EC%BB%A4%ED%94%BC</t>
  </si>
  <si>
    <t>2018년 가맹사업 시작. 성장형 specialty/value peer.</t>
  </si>
  <si>
    <t>Value / Office Take-out</t>
  </si>
  <si>
    <t>Mammoth Express</t>
  </si>
  <si>
    <t>https://fchamall.com/franchise-info/%EB%A7%A4%EB%A8%B8%EB%93%9C%EC%9D%B5%EC%8A%A4%ED%94%84%EB%A0%88%EC%8A%A4-mammoth-express</t>
  </si>
  <si>
    <t>오피스 상권 / 소형 take-out peer.</t>
  </si>
  <si>
    <t>Dessert / Large menu</t>
  </si>
  <si>
    <t>Dessert39</t>
  </si>
  <si>
    <t>https://fchamall.com/franchise-info/%EB%94%94%EC%A0%80%ED%8A%B839</t>
  </si>
  <si>
    <t>카페+디저트 복합 peer.</t>
  </si>
  <si>
    <t>Regional / Value</t>
  </si>
  <si>
    <t>Cafe Bombom</t>
  </si>
  <si>
    <t>https://fchamall.com/franchise-info/%EC%B9%B4%ED%8E%98%EB%B4%84%EB%B4%84</t>
  </si>
  <si>
    <t>지역 기반 value peer.</t>
  </si>
  <si>
    <t>Emerging / Fast rollout</t>
  </si>
  <si>
    <t>Baekeok Coffee</t>
  </si>
  <si>
    <t>https://fchamall.com/franchise-info/%EB%B0%B1%EC%96%B5%EC%BB%A4%ED%94%BC</t>
  </si>
  <si>
    <t>가맹사업 2022년 시작. 2025 정보공개서 기준 신규 77개, 폐업·해지 0개.</t>
  </si>
  <si>
    <t>Emerging / Growth</t>
  </si>
  <si>
    <t>PLUS 82</t>
  </si>
  <si>
    <t>https://fchamall.com/franchise-info/plus-82-%ED%94%8C%EB%9F%AC%EC%8A%A4-82</t>
  </si>
  <si>
    <t>가맹사업 2022년 시작. 신규/성장 브랜드의 상단 매출 peer.</t>
  </si>
  <si>
    <t>Growth / Value</t>
  </si>
  <si>
    <t>OOZYCOFFEE</t>
  </si>
  <si>
    <t>https://fchamall.com/franchise-info/%EC%9A%B0%EC%A7%80%EC%BB%A4%ED%94%BC-oozycoffee</t>
  </si>
  <si>
    <t>가맹사업 2020년 시작. 성장형 value peer.</t>
  </si>
  <si>
    <t>Emerging / Small network</t>
  </si>
  <si>
    <t>Pound Coffee</t>
  </si>
  <si>
    <t>https://fchamall.com/franchise-info/%ED%8C%8C%EC%9A%B4%EB%93%9C%EC%BB%A4%ED%94%BC</t>
  </si>
  <si>
    <t>가맹사업 2022년 시작. 표본 8개로 small-sample 주의.</t>
  </si>
  <si>
    <t>Every Coffee</t>
  </si>
  <si>
    <t>https://fchamall.com/franchise-info/every-coffee-%EC%97%90%EB%B8%8C%EB%A6%AC%EC%BB%A4%ED%94%BC</t>
  </si>
  <si>
    <t>가맹사업 2021년 시작. small-sample peer.</t>
  </si>
  <si>
    <t>Emerging / Regional</t>
  </si>
  <si>
    <t>Mori Coffee</t>
  </si>
  <si>
    <t>https://fchamall.com/franchise-info/%EB%AA%A8%EB%A6%AC%EC%BB%A4%ED%94%BC</t>
  </si>
  <si>
    <t>가맹사업 2020년 시작. 81개 점포 성장형 peer.</t>
  </si>
  <si>
    <t>Emerging / Unmanned</t>
  </si>
  <si>
    <t>Cafe Freehet</t>
  </si>
  <si>
    <t>https://fchamall.com/franchise-info/%EC%B9%B4%ED%8E%98%ED%94%84%EB%A6%AC%ED%97%B7</t>
  </si>
  <si>
    <t>가맹사업 2023년 시작. 무인/저인력 포맷의 신규 peer.</t>
  </si>
  <si>
    <t>Cafe Manwolgyeong</t>
  </si>
  <si>
    <t>https://fchamall.com/franchise-info/%EC%B9%B4%ED%8E%98%EB%A7%8C%EC%9B%94%EA%B2%BD</t>
  </si>
  <si>
    <t>가맹사업 2021년 시작. 무인·저매출 구조 비교용.</t>
  </si>
  <si>
    <t>Cafe / Bakery hybrid</t>
  </si>
  <si>
    <t>Paik's Bakery Lab</t>
  </si>
  <si>
    <t>https://fchamall.com/franchise-info/%EB%B9%BD%EB%8B%A4%EB%B0%A9%EB%B9%B5%EC%97%B0%EA%B5%AC%EC%86%8C</t>
  </si>
  <si>
    <t>소수 점포·베이커리 결합형. 일반 카페보다 높은 매출 benchmark.</t>
  </si>
  <si>
    <t>Industry Benchmark</t>
  </si>
  <si>
    <t>Coffee franchise category average</t>
  </si>
  <si>
    <t>Industry average</t>
  </si>
  <si>
    <t>2025 FTC disclosure category benchmark</t>
  </si>
  <si>
    <t>Industry Avg</t>
  </si>
  <si>
    <t>https://fchamall.com/rankings/franchise</t>
  </si>
  <si>
    <t>활성 커피 브랜드 업종 평균 월매출 약 1,558만원.</t>
  </si>
  <si>
    <t>GROUP B | POPUP / HOT &amp; EMERGING BRAND – ACTUAL EVENT SALES</t>
  </si>
  <si>
    <t>Popup / Retail</t>
  </si>
  <si>
    <t>Viral / Digital IP</t>
  </si>
  <si>
    <t>Isegye Idol popup</t>
  </si>
  <si>
    <t>The Hyundai Seoul</t>
  </si>
  <si>
    <t>Actual popup sales</t>
  </si>
  <si>
    <t>News-reported event sales</t>
  </si>
  <si>
    <t>2024 / 2 weeks</t>
  </si>
  <si>
    <t>Actual Event</t>
  </si>
  <si>
    <t>https://www.hankyung.com/article/202406235300i</t>
  </si>
  <si>
    <t>2주 34억원. 기사에서 동일 규모 일반 패션 매장의 일매출 약 1,000만원과 비교.</t>
  </si>
  <si>
    <t>K-pop / Fan goods</t>
  </si>
  <si>
    <t>SEVENTEEN Artist-Made Collection</t>
  </si>
  <si>
    <t>Shinsegae Gangnam</t>
  </si>
  <si>
    <t>2023 / 2 weeks</t>
  </si>
  <si>
    <t>https://www.opinionnews.co.kr/news/articleView.html?idxno=98700</t>
  </si>
  <si>
    <t>2주간 약 15억원, 구매고객 약 1만명.</t>
  </si>
  <si>
    <t>Character / IP</t>
  </si>
  <si>
    <t>Hello Kitty 50th</t>
  </si>
  <si>
    <t>2023 / 12 days</t>
  </si>
  <si>
    <t>https://www.hankyung.com/article/202401103263i</t>
  </si>
  <si>
    <t>12일간 11억원.</t>
  </si>
  <si>
    <t>Fu Bao popup</t>
  </si>
  <si>
    <t>https://www.ajunews.com/view/20240129151245619</t>
  </si>
  <si>
    <t>2주간 약 10억원, 방문객 약 2만명.</t>
  </si>
  <si>
    <t>Game / IP</t>
  </si>
  <si>
    <t>Nintendo POP-UP STORE in SEOUL</t>
  </si>
  <si>
    <t>I'Park Mall Yongsan</t>
  </si>
  <si>
    <t>2023 / approx. 1 month</t>
  </si>
  <si>
    <t>팝업 전체 매출 40억원 이상. 운영일수는 약 1개월을 38일로 표시한 계산용 근사치.</t>
  </si>
  <si>
    <t>Popup / Fashion</t>
  </si>
  <si>
    <t>High-growth K-fashion</t>
  </si>
  <si>
    <t>Matin Kim Busan popup</t>
  </si>
  <si>
    <t>Lotte Department Store Busan</t>
  </si>
  <si>
    <t>2022 / 7 days</t>
  </si>
  <si>
    <t>https://www.ktnews.com/news/articleView.html?idxno=124946</t>
  </si>
  <si>
    <t>일주일간 약 6억원, 방문객 약 2만명.</t>
  </si>
  <si>
    <t>Matin Kim Osaka popup</t>
  </si>
  <si>
    <t>Hankyu Umeda, Osaka</t>
  </si>
  <si>
    <t>2024 / 7 days</t>
  </si>
  <si>
    <t>https://www.newsis.com/view/NISX20240415_0002700181</t>
  </si>
  <si>
    <t>일주일간 7억원; 일평균 약 1억원.</t>
  </si>
  <si>
    <t>High-growth / Seongsu</t>
  </si>
  <si>
    <t>SATUR 'The T-shirt Shop'</t>
  </si>
  <si>
    <t>Seongsu</t>
  </si>
  <si>
    <t>2024-05-10 ~ 2024-06-03</t>
  </si>
  <si>
    <t>https://fpost.co.kr/board/bbs/board.php?bo_table=newsinnews&amp;wr_id=7199</t>
  </si>
  <si>
    <t>성수 팝업 약 한 달간 9억원. 오픈 10일 기준 3.5억원 보도도 존재.</t>
  </si>
  <si>
    <t>Emerging / New brand</t>
  </si>
  <si>
    <t>The Barnnet first Korea popup</t>
  </si>
  <si>
    <t>Lotte World Mall, Jamsil</t>
  </si>
  <si>
    <t>2025-03-07 ~ 2025-03-20</t>
  </si>
  <si>
    <t>https://fashionbiz.co.kr/article/214757</t>
  </si>
  <si>
    <t>국내 첫 팝업 2주간 6억원. 신생 브랜드 오프라인 benchmark.</t>
  </si>
  <si>
    <t>General popular popup examples</t>
  </si>
  <si>
    <t>Viva Trading popup</t>
  </si>
  <si>
    <t>Department store</t>
  </si>
  <si>
    <t>2023</t>
  </si>
  <si>
    <t>아주경제가 인기 팝업 사례로 약 5억원 매출을 언급. 운영기간 미공개.</t>
  </si>
  <si>
    <t>GROUP C | EXHIBITION / EXPERIENCE – VENUE / EVENT BENCHMARKS</t>
  </si>
  <si>
    <t>Exhibition / Experience</t>
  </si>
  <si>
    <t>Immersive / Ticketed</t>
  </si>
  <si>
    <t>Arte Museum Jeju</t>
  </si>
  <si>
    <t>Jeju</t>
  </si>
  <si>
    <t>Single-venue annual revenue</t>
  </si>
  <si>
    <t>Revenue of Dstrict Jeju, entity operating Arte Museum Jeju</t>
  </si>
  <si>
    <t>2022</t>
  </si>
  <si>
    <t>Actual Venue</t>
  </si>
  <si>
    <t>https://www.unicornfactory.co.kr/article/2023041411280462038</t>
  </si>
  <si>
    <t>기사에서 아르떼뮤지엄 제주 운영법인 디스트릭트제주의 2022 매출 47.79억원을 별도 공개. 기업 전체 매출이 아닌 단일 전시장 운영 entity 기준.</t>
  </si>
  <si>
    <t>Arte Museum network</t>
  </si>
  <si>
    <t>Jeju / Yeosu / Gangneung</t>
  </si>
  <si>
    <t>Venue revenue proxy</t>
  </si>
  <si>
    <t>2022 exhibition-operation revenue 162억원 ÷ 3 operating venues</t>
  </si>
  <si>
    <t>Proxy</t>
  </si>
  <si>
    <t>전시관 운영 매출 162억원을 당시 3개 전시장으로 단순 나눈 proxy. 상품판매 21억원은 제외.</t>
  </si>
  <si>
    <t>Curated / Ticketed</t>
  </si>
  <si>
    <t>Ground Seesaw</t>
  </si>
  <si>
    <t>Seoul</t>
  </si>
  <si>
    <t>Visitor benchmark</t>
  </si>
  <si>
    <t>Official showreel / media disclosure; revenue not separately disclosed</t>
  </si>
  <si>
    <t>2024 disclosure</t>
  </si>
  <si>
    <t>Visitor Only</t>
  </si>
  <si>
    <t>https://groundseesaw.co.kr/showreel.html</t>
  </si>
  <si>
    <t>공개된 전시장별 매출이 없어 매출 수치는 비움. 공식 쇼릴 기준 누적 관람객 350만명+, 25만명+ 전시 4회 이상; 별도 보도에서 최근 3년 연평균 방문객 약 100만명.</t>
  </si>
  <si>
    <t>Exhibition / Ticketing</t>
  </si>
  <si>
    <t>Industry / Ticket revenue</t>
  </si>
  <si>
    <t>Art exhibitions – Interpark sample</t>
  </si>
  <si>
    <t>Industry ticket-sales sample</t>
  </si>
  <si>
    <t>Interpark art-exhibition ticket sales sample</t>
  </si>
  <si>
    <t>2020-03</t>
  </si>
  <si>
    <t>Historic Industry</t>
  </si>
  <si>
    <t>https://www.yna.co.kr/view/AKR20200403149500005</t>
  </si>
  <si>
    <t>코로나 시기 표본이라 최신 benchmark로는 부적합. 티켓 매출/관람객 계산 참고용.</t>
  </si>
  <si>
    <t>Exhibition / Art Fair</t>
  </si>
  <si>
    <t>High-end / Transaction</t>
  </si>
  <si>
    <t>Frieze Seoul</t>
  </si>
  <si>
    <t>COEX, Seoul</t>
  </si>
  <si>
    <t>Event transaction GMV</t>
  </si>
  <si>
    <t>Media estimate of artwork transactions; NOT operator revenue</t>
  </si>
  <si>
    <t>2022 / 4 days</t>
  </si>
  <si>
    <t>Context Only</t>
  </si>
  <si>
    <t>https://news.tf.co.kr/read/economy/2037548.htm</t>
  </si>
  <si>
    <t>작품 거래 GMV 약 6,500억원 추정. 전시 운영사 매출이 아니므로 사업 수익 benchmark에는 직접 사용 금지.</t>
  </si>
  <si>
    <t>GROUP D | FIXED RETAIL – BEAUTY / WOMEN’S / MEN’S / RARE &amp; RESALE PEERS</t>
  </si>
  <si>
    <t>Fixed Retail / Beauty</t>
  </si>
  <si>
    <t>Beauty specialty</t>
  </si>
  <si>
    <t>Bath &amp; Body Works</t>
  </si>
  <si>
    <t>U.S.</t>
  </si>
  <si>
    <t>Store productivity</t>
  </si>
  <si>
    <t>Direct store sales / sqft</t>
  </si>
  <si>
    <t>FY2024</t>
  </si>
  <si>
    <t>Actual Store Productivity</t>
  </si>
  <si>
    <t>https://www.sec.gov/Archives/edgar/data/701985/000070198525000011/bbwi-20250201.htm</t>
  </si>
  <si>
    <t>5F Beauty | direct store productivity</t>
  </si>
  <si>
    <t>Ulta Beauty</t>
  </si>
  <si>
    <t>Store productivity proxy</t>
  </si>
  <si>
    <t>Omnichannel revenue normalized to store area</t>
  </si>
  <si>
    <t>https://www.sec.gov/Archives/edgar/data/1403568/000155837025003810/ulta-20250201x10k.htm</t>
  </si>
  <si>
    <t>5F Beauty | 85% store-capture haircut</t>
  </si>
  <si>
    <t>Sally Beauty</t>
  </si>
  <si>
    <t>Global</t>
  </si>
  <si>
    <t>Sally segment revenue normalized to avg stores / area</t>
  </si>
  <si>
    <t>FY2025</t>
  </si>
  <si>
    <t>https://www.sallybeautyholdings.com/~/media/Files/S/Sally-Beauty/annual-report/2025-annual-report.pdf</t>
  </si>
  <si>
    <t>5F Beauty | 89.3% store-capture proxy</t>
  </si>
  <si>
    <t>Fixed Retail / Women</t>
  </si>
  <si>
    <t>Women / active / intimates</t>
  </si>
  <si>
    <t>Aerie</t>
  </si>
  <si>
    <t>U.S. / Canada / Mexico</t>
  </si>
  <si>
    <t>Brand revenue normalized to avg stores / area</t>
  </si>
  <si>
    <t>https://www.sec.gov/Archives/edgar/data/919012/000119312526227191/d83289dars.pdf</t>
  </si>
  <si>
    <t>6F Women’s | 70% store-capture haircut</t>
  </si>
  <si>
    <t>Women / intimates / lifestyle</t>
  </si>
  <si>
    <t>Victoria’s Secret</t>
  </si>
  <si>
    <t>U.S. / Canada / China</t>
  </si>
  <si>
    <t>Direct store sales / sqft annualized</t>
  </si>
  <si>
    <t>1Q2026 run-rate</t>
  </si>
  <si>
    <t>https://www.sec.gov/Archives/edgar/data/1856437/000185643726000013/vsco-20260502.htm</t>
  </si>
  <si>
    <t>6F Women’s | 1Q2026 store productivity annualized ×4</t>
  </si>
  <si>
    <t>Fixed Retail / Men</t>
  </si>
  <si>
    <t>Contemporary / casual proxy</t>
  </si>
  <si>
    <t>American Eagle</t>
  </si>
  <si>
    <t>7F Men’s | unisex casual proxy; 70% store-capture haircut</t>
  </si>
  <si>
    <t>Contemporary / designer-casual proxy</t>
  </si>
  <si>
    <t>Abercrombie</t>
  </si>
  <si>
    <t>Brand revenue normalized to store area</t>
  </si>
  <si>
    <t>https://www.sec.gov/Archives/edgar/data/1018840/000101884025000013/anf-20250201.htm</t>
  </si>
  <si>
    <t>7F Men’s | unisex contemporary proxy; 70% store-capture haircut</t>
  </si>
  <si>
    <t>Fixed Retail / Resale</t>
  </si>
  <si>
    <t>Luxury / rare / resale</t>
  </si>
  <si>
    <t>KOMEHYO</t>
  </si>
  <si>
    <t>Japan / Asia</t>
  </si>
  <si>
    <t>Sales-capable store proxy</t>
  </si>
  <si>
    <t>Consolidated sales × retail ratio ÷ sales-capable stores</t>
  </si>
  <si>
    <t>FY2026</t>
  </si>
  <si>
    <t>https://komehyohds.com/ir/upload_file/m000-/E_setsumeishiryo20260514.pdf</t>
  </si>
  <si>
    <t>8F Rare &amp; Resale | long-term specialist operator proxy</t>
  </si>
  <si>
    <t>Luxury resale platform</t>
  </si>
  <si>
    <t>The RealReal</t>
  </si>
  <si>
    <t>Platform GMV context</t>
  </si>
  <si>
    <t>2025 GMV; store revenue not separately disclosed</t>
  </si>
  <si>
    <t>https://investor.therealreal.com/overview/default.aspx</t>
  </si>
  <si>
    <t>8F Rare &amp; Resale | GMV context only; excluded from unit-income benchmark</t>
  </si>
  <si>
    <t>GROUP E | E4 FIXED-STORE BASE BENCHMARKS</t>
  </si>
  <si>
    <t>E4 Fixed Retail</t>
  </si>
  <si>
    <t>Beauty</t>
  </si>
  <si>
    <t>5F Beauty Base</t>
  </si>
  <si>
    <t>Seongsu E4</t>
  </si>
  <si>
    <t>E4 unit model proxy</t>
  </si>
  <si>
    <t>Median / blended normalized peer benchmark</t>
  </si>
  <si>
    <t>Base Case</t>
  </si>
  <si>
    <t>Model Proxy</t>
  </si>
  <si>
    <t>Internal peer normalization; see Fixed Store Peer Calc</t>
  </si>
  <si>
    <t>Annual tenant/store gross-sales proxy for E4-sized unit; not Landlord NOI.</t>
  </si>
  <si>
    <t>Women’s Fashion</t>
  </si>
  <si>
    <t>6F Women’s Base</t>
  </si>
  <si>
    <t>Men’s Fashion</t>
  </si>
  <si>
    <t>7F Men’s Base</t>
  </si>
  <si>
    <t>Rare &amp; Resale</t>
  </si>
  <si>
    <t>8F Rare &amp; Resale Base</t>
  </si>
  <si>
    <t>Retail Income Summary – 1F to 8F</t>
  </si>
  <si>
    <t>1F–4F = Popup / Gallery / Café gross-sales proxy | 5F–8F = Fixed-store / specialist-operator gross-sales proxy. 모든 수치는 tenant / store / event sales proxy이며 Landlord NOI 또는 임대수익과 다름.</t>
  </si>
  <si>
    <t>FLOOR SUMMARY</t>
  </si>
  <si>
    <t>Floor</t>
  </si>
  <si>
    <t>Program</t>
  </si>
  <si>
    <t>A (#)</t>
  </si>
  <si>
    <t>B (#)</t>
  </si>
  <si>
    <t>C (#)</t>
  </si>
  <si>
    <t>Gallery (#)</t>
  </si>
  <si>
    <t>Café (#)</t>
  </si>
  <si>
    <t>Fixed Stores / Operator (#)</t>
  </si>
  <si>
    <t>A Gross Sales</t>
  </si>
  <si>
    <t>B Gross Sales</t>
  </si>
  <si>
    <t>C Gross Sales</t>
  </si>
  <si>
    <t>Other / Fixed Retail</t>
  </si>
  <si>
    <t>Floor Total</t>
  </si>
  <si>
    <t>% of Total</t>
  </si>
  <si>
    <t>1F</t>
  </si>
  <si>
    <t>Popup Discovery</t>
  </si>
  <si>
    <t>2F</t>
  </si>
  <si>
    <t>Popup Discovery / Growth</t>
  </si>
  <si>
    <t>3F</t>
  </si>
  <si>
    <t>Popup Transition</t>
  </si>
  <si>
    <t>4F</t>
  </si>
  <si>
    <t>Anchor + Gallery / Café</t>
  </si>
  <si>
    <t>5F</t>
  </si>
  <si>
    <t>Beauty Discovery</t>
  </si>
  <si>
    <t>6F</t>
  </si>
  <si>
    <t>7F</t>
  </si>
  <si>
    <t>8F</t>
  </si>
  <si>
    <t>Rare &amp; Resale Destination</t>
  </si>
  <si>
    <t>TOTAL 1F–8F ESTIMATED ANNUAL GROSS SALES</t>
  </si>
  <si>
    <t>1F Retail / Popup Income Build-Up</t>
  </si>
  <si>
    <t>운영 도면 구성: A 1 / B 1 / C 5</t>
  </si>
  <si>
    <t>※ Estimated Annual Gross Sales = tenant / event gross sales proxy. Landlord NOI가 아님. Popup 연간 회전수는 파란색 입력값(기본 4회/년).</t>
  </si>
  <si>
    <t>KEY BENCHMARK ASSUMPTIONS</t>
  </si>
  <si>
    <t>Benchmark</t>
  </si>
  <si>
    <t>Annualization</t>
  </si>
  <si>
    <t>Basis / Peer</t>
  </si>
  <si>
    <t>A | 유명 / 핫 브랜드</t>
  </si>
  <si>
    <t>Median: Isegye Idol / SEVENTEEN / Hello Kitty / Fu Bao / Nintendo</t>
  </si>
  <si>
    <t>B | 기존 성장 브랜드</t>
  </si>
  <si>
    <t>Median: Matin Kim Busan / Osaka / SATUR</t>
  </si>
  <si>
    <t>C | 신생 브랜드</t>
  </si>
  <si>
    <t>FLOOR INCOME BUILD-UP</t>
  </si>
  <si>
    <t>Zone</t>
  </si>
  <si>
    <t>Type</t>
  </si>
  <si>
    <t>Count (#)</t>
  </si>
  <si>
    <t>Unit Benchmark</t>
  </si>
  <si>
    <t>Events / Yr</t>
  </si>
  <si>
    <t>Scale %</t>
  </si>
  <si>
    <t>Annual Gross Sales</t>
  </si>
  <si>
    <t>Share of Floor</t>
  </si>
  <si>
    <t>Basis</t>
  </si>
  <si>
    <t>A</t>
  </si>
  <si>
    <t>유명 / 핫 브랜드</t>
  </si>
  <si>
    <t>B</t>
  </si>
  <si>
    <t>기존 성장 브랜드</t>
  </si>
  <si>
    <t>C</t>
  </si>
  <si>
    <t>신생 브랜드</t>
  </si>
  <si>
    <t>1F TOTAL ESTIMATED ANNUAL GROSS SALES</t>
  </si>
  <si>
    <t>Tenant / event gross sales proxy</t>
  </si>
  <si>
    <t>2F Retail / Popup Income Build-Up</t>
  </si>
  <si>
    <t>운영 도면 구성: A 1 / B 2 / C 8</t>
  </si>
  <si>
    <t>2F TOTAL ESTIMATED ANNUAL GROSS SALES</t>
  </si>
  <si>
    <t>3F Retail / Popup Income Build-Up</t>
  </si>
  <si>
    <t>운영 도면 구성: A 1 / B 2 / C 6</t>
  </si>
  <si>
    <t>3F TOTAL ESTIMATED ANNUAL GROSS SALES</t>
  </si>
  <si>
    <t>4F Retail / Popup Income Build-Up</t>
  </si>
  <si>
    <t>운영 도면 구성: A 2 / B 1 / C 1 / Gallery 1 / Café 1</t>
  </si>
  <si>
    <t>Gallery | 전시</t>
  </si>
  <si>
    <t>억원 / year</t>
  </si>
  <si>
    <t>Arte Museum Jeju annual venue revenue × small-gallery scale</t>
  </si>
  <si>
    <t>Café | 프리미엄 카페</t>
  </si>
  <si>
    <t>억원 / store / year</t>
  </si>
  <si>
    <t>Median: Twosome / Hollys / Dessert39</t>
  </si>
  <si>
    <t>Gallery</t>
  </si>
  <si>
    <t>전시 / 갤러리</t>
  </si>
  <si>
    <t>Arte Museum Jeju scaled to small 4F gallery (model assumption)</t>
  </si>
  <si>
    <t>카페</t>
  </si>
  <si>
    <t>Premium café peer median</t>
  </si>
  <si>
    <t>4F TOTAL ESTIMATED ANNUAL GROSS SALES</t>
  </si>
  <si>
    <t>5F Beauty Discovery Floor – Fixed Store Income Build-Up</t>
  </si>
  <si>
    <t>운영 구성: Beauty 고정점포 8개 | 232평 / 점포당 약 29.0평</t>
  </si>
  <si>
    <t>※ Estimated Annual Gross Sales = tenant / store gross-sales proxy. Landlord NOI가 아님. 5F는 향수·스킨케어·메이크업·바디·헤어 등 8개 고정점포로 구성.</t>
  </si>
  <si>
    <t>KEY FIXED-STORE PEER BENCHMARKS</t>
  </si>
  <si>
    <t>Direct store productivity</t>
  </si>
  <si>
    <t>SEC 10-K FY2024</t>
  </si>
  <si>
    <t>Omnichannel normalized store proxy</t>
  </si>
  <si>
    <t>Segment revenue normalized store proxy</t>
  </si>
  <si>
    <t>FY2025 Annual Report</t>
  </si>
  <si>
    <t>Median of normalized beauty peers</t>
  </si>
  <si>
    <t>Fixed Store Peer Calc</t>
  </si>
  <si>
    <t>Beauty fixed shops</t>
  </si>
  <si>
    <t>Beauty peer median | 8 fixed stores</t>
  </si>
  <si>
    <t>5F TOTAL ESTIMATED ANNUAL GROSS SALES</t>
  </si>
  <si>
    <t>Tenant / store gross-sales proxy; not Landlord NOI</t>
  </si>
  <si>
    <t>6F Women’s Fashion – Fixed Store Income Build-Up</t>
  </si>
  <si>
    <t>운영 구성: Women’s Fashion 중형 고정점포 5개 | 241평 / 점포당 약 48.2평</t>
  </si>
  <si>
    <t>※ Estimated Annual Gross Sales = tenant / store gross-sales proxy. Landlord NOI가 아님. 독립적 매장 아이덴티티를 유지하는 5개 중형 여성패션 숍 구성.</t>
  </si>
  <si>
    <t>Brand revenue normalized store proxy</t>
  </si>
  <si>
    <t>AEO FY2025 Annual Report</t>
  </si>
  <si>
    <t>1Q2026 direct store productivity annualized</t>
  </si>
  <si>
    <t>SEC filing | 1Q2026</t>
  </si>
  <si>
    <t>Median of Aerie / Victoria’s Secret proxy</t>
  </si>
  <si>
    <t>Women’s</t>
  </si>
  <si>
    <t>Women’s fashion fixed shops</t>
  </si>
  <si>
    <t>Women’s fashion peer median | 5 fixed stores</t>
  </si>
  <si>
    <t>6F TOTAL ESTIMATED ANNUAL GROSS SALES</t>
  </si>
  <si>
    <t>7F Men’s Fashion – Fixed Store Income Build-Up</t>
  </si>
  <si>
    <t>운영 구성: Men’s Fashion 고정점포 5개 | 241평 / 점포당 약 48.2평</t>
  </si>
  <si>
    <t>※ Estimated Annual Gross Sales = tenant / store gross-sales proxy. Landlord NOI가 아님. Contemporary·Street·Casual·Designer mix를 지향.</t>
  </si>
  <si>
    <t>Unisex casual proxy normalized to store area</t>
  </si>
  <si>
    <t>Median of normalized menswear proxies</t>
  </si>
  <si>
    <t>Men’s</t>
  </si>
  <si>
    <t>Men’s fashion fixed shops</t>
  </si>
  <si>
    <t>Men’s fashion proxy median | 5 fixed stores</t>
  </si>
  <si>
    <t>7F TOTAL ESTIMATED ANNUAL GROSS SALES</t>
  </si>
  <si>
    <t>8F Rare &amp; Resale – Specialist Operator Income Build-Up</t>
  </si>
  <si>
    <t>운영 구성: Rare &amp; Resale 전문 운영사 1개 | 241평 전체 장기임차형 운영</t>
  </si>
  <si>
    <t>※ Estimated Annual Gross Sales = tenant / operator gross-sales proxy. Landlord NOI가 아님. 희소 스니커즈·한정판·디자이너 아카이브 등 Destination Retail 성격.</t>
  </si>
  <si>
    <t>억원 / operator / year</t>
  </si>
  <si>
    <t>Retail-sales / sales-capable-store proxy × E4 scale</t>
  </si>
  <si>
    <t>KOMEHYO FY2026 Results</t>
  </si>
  <si>
    <t>6F / 7F Fashion Density Cross-check</t>
  </si>
  <si>
    <t>억원 / floor / year</t>
  </si>
  <si>
    <t>Average of women’s / men’s E4 floor proxies</t>
  </si>
  <si>
    <t>Internal cross-check</t>
  </si>
  <si>
    <t>Blended KOMEHYO + fashion density cross-check</t>
  </si>
  <si>
    <t>N/A</t>
  </si>
  <si>
    <t>Context only</t>
  </si>
  <si>
    <t>Platform GMV only; excluded from store-income benchmark</t>
  </si>
  <si>
    <t>The RealReal IR | Context only</t>
  </si>
  <si>
    <t>Specialist resale operator</t>
  </si>
  <si>
    <t>KOMEHYO scaled proxy + fashion density cross-check</t>
  </si>
  <si>
    <t>8F TOTAL ESTIMATED ANNUAL GROSS SALES</t>
  </si>
  <si>
    <t>Fixed Store Peer Income Benchmark – Beauty / Women’s Fashion / Men’s Fashion / Rare &amp; Resale</t>
  </si>
  <si>
    <t>Public peer data are normalized to E4-sized stores. Annual Gross Sales is a tenant/store sales proxy, not Landlord NOI. Omnichannel normalization and E4 scaling are explicit model assumptions.</t>
  </si>
  <si>
    <t>MODEL ASSUMPTIONS / NORMALIZATION</t>
  </si>
  <si>
    <t>Assumption</t>
  </si>
  <si>
    <t>Use</t>
  </si>
  <si>
    <t>Source / Note</t>
  </si>
  <si>
    <t>USD / KRW FX</t>
  </si>
  <si>
    <t>KRW / USD</t>
  </si>
  <si>
    <t>USD peer conversion</t>
  </si>
  <si>
    <t>JPY / KRW FX</t>
  </si>
  <si>
    <t>KRW / JPY</t>
  </si>
  <si>
    <t>KOMEHYO conversion</t>
  </si>
  <si>
    <t>Ulta Store Capture</t>
  </si>
  <si>
    <t>% of omnichannel revenue</t>
  </si>
  <si>
    <t>Beauty normalization</t>
  </si>
  <si>
    <t>Sally Store Capture</t>
  </si>
  <si>
    <t>% of segment revenue</t>
  </si>
  <si>
    <t>AEO / A&amp;F Store Capture</t>
  </si>
  <si>
    <t>% of brand revenue</t>
  </si>
  <si>
    <t>Fashion normalization</t>
  </si>
  <si>
    <t>KOMEHYO E4 Scale</t>
  </si>
  <si>
    <t>% of avg sales-capable store</t>
  </si>
  <si>
    <t>Sqft per Pyeong</t>
  </si>
  <si>
    <t>sqft / py</t>
  </si>
  <si>
    <t>Area conversion</t>
  </si>
  <si>
    <t>PEER NORMALIZATION &amp; E4 UNIT SALES PROXY</t>
  </si>
  <si>
    <t>Peer</t>
  </si>
  <si>
    <t>Period</t>
  </si>
  <si>
    <t>Input Metric</t>
  </si>
  <si>
    <t>Input Unit</t>
  </si>
  <si>
    <t>Store Count</t>
  </si>
  <si>
    <t>Avg Store Area (sqft)</t>
  </si>
  <si>
    <t>Store Capture / Retail %</t>
  </si>
  <si>
    <t>FX to KRW</t>
  </si>
  <si>
    <t>Annual Sales / Store (억원)</t>
  </si>
  <si>
    <t>Annual Sales / Py (만원/평/년)</t>
  </si>
  <si>
    <t>E4 Unit Area (py)</t>
  </si>
  <si>
    <t>E4 Scale %</t>
  </si>
  <si>
    <t>E4 Unit Sales Proxy (억원/년)</t>
  </si>
  <si>
    <t>USD / sqft / year</t>
  </si>
  <si>
    <t>Omnichannel revenue / store area</t>
  </si>
  <si>
    <t>USD mm / year</t>
  </si>
  <si>
    <t>Segment revenue / avg stores</t>
  </si>
  <si>
    <t>Brand revenue / avg stores</t>
  </si>
  <si>
    <t>Direct store productivity annualized</t>
  </si>
  <si>
    <t>1Q2026</t>
  </si>
  <si>
    <t>USD / sqft / 13 weeks</t>
  </si>
  <si>
    <t>Brand revenue / current store area</t>
  </si>
  <si>
    <t>Retail-sales / sales-capable stores</t>
  </si>
  <si>
    <t>JPY mm consolidated revenue</t>
  </si>
  <si>
    <t>Platform GMV – context only</t>
  </si>
  <si>
    <t>USD mm GMV / year</t>
  </si>
  <si>
    <t>E4 FIXED-STORE BASE BENCHMARKS</t>
  </si>
  <si>
    <t>BENCHMARK INTERPRETATION</t>
  </si>
  <si>
    <t>Base Unit Sales (억원/년)</t>
  </si>
  <si>
    <t>Floor Sales Proxy (억원/년)</t>
  </si>
  <si>
    <t>플랫폼 환율 기준 | 2026-08-11</t>
  </si>
  <si>
    <t>모델 가정: 이커머스 / 살롱 / 기타 매출을 반영한 할인 조정</t>
  </si>
  <si>
    <t>연결 기준 이커머스 매출 비중 10.7%를 적용한 추정치</t>
  </si>
  <si>
    <t>모델 가정: 오프라인 매장 생산성 산출 시 전체 매출의 70%만 반영</t>
  </si>
  <si>
    <t>모델 가정: E4는 평균적인 판매 가능 Peer 대비 매장 규모가 작고 상품 구성이 제한적임</t>
  </si>
  <si>
    <t>1평 = 3.3058㎡ = 35.583ft²</t>
  </si>
  <si>
    <t>3 beauty peers 중앙값</t>
    <phoneticPr fontId="3" type="noConversion"/>
  </si>
  <si>
    <t>Aerie + Victoria’s Secret 중앙값</t>
    <phoneticPr fontId="3" type="noConversion"/>
  </si>
  <si>
    <t>American Eagle + Abercrombie 중앙값</t>
    <phoneticPr fontId="3" type="noConversion"/>
  </si>
  <si>
    <t>X</t>
    <phoneticPr fontId="3" type="noConversion"/>
  </si>
  <si>
    <t>본 모델은 Retail 운영 매출의 규모를 비교·추정하기 위한 보조 모델입니다. 사업성 평가 시에는 임대료, 수수료 구조, 운영비, 공실, Tenant Mix 및 실제 임대차 조건을 별도로 반영해야 합니다.</t>
  </si>
  <si>
    <t>NOTE</t>
  </si>
  <si>
    <t>Income Summary → 각 Floor Income → Fixed Store Peer Calc → Peer Income 순으로 확인</t>
  </si>
  <si>
    <t>추천 검토 순서</t>
  </si>
  <si>
    <t>다른 시트를 참조하는 연결 수식</t>
  </si>
  <si>
    <t>초록색 글씨</t>
  </si>
  <si>
    <t>동일 시트 내 계산식 및 산출값</t>
  </si>
  <si>
    <t>검정색 글씨</t>
  </si>
  <si>
    <t>직접 입력하는 가정값 / 시나리오 입력값</t>
  </si>
  <si>
    <t>파란색 글씨</t>
  </si>
  <si>
    <t>05 | 모델 사용 규칙 및 추천 검토 순서</t>
  </si>
  <si>
    <t>글로벌 Peer 환산 과정의 FX, Store Capture, E4 Scale 등 파란색 입력값은 검토 시 우선 확인 대상</t>
  </si>
  <si>
    <t>환율 및 Scale 가정</t>
  </si>
  <si>
    <t>5~8층은 해외 Peer의 매출·매장면적·온라인 매출 비중 등을 조정한 Proxy이므로 실제 입점 브랜드와 차이가 발생할 수 있음</t>
  </si>
  <si>
    <t>Peer 정규화</t>
  </si>
  <si>
    <t>1~4층은 기본 연 4회 Event 운영 가정에 민감하므로 실제 운영계획에 따라 회전수를 재검토해야 함</t>
  </si>
  <si>
    <t>팝업 회전수 민감도</t>
  </si>
  <si>
    <t>본 모델의 Income은 임차인·매장·이벤트의 Gross Sales Proxy이며, 임대료 또는 Landlord NOI와 동일하지 않음</t>
  </si>
  <si>
    <t>Landlord NOI 아님</t>
  </si>
  <si>
    <t>04 | 해석 시 유의사항</t>
  </si>
  <si>
    <t>KOMEHYO 등 전문 리세일 Peer를 기반으로 매장 규모 및 E4 Scale을 반영해 연간 매출 추정</t>
  </si>
  <si>
    <t>8층 Rare &amp; Resale</t>
  </si>
  <si>
    <t>공개 Peer의 매장 생산성을 E4 매장 면적에 맞춰 정규화하고 층별 Store 수를 곱해 산출</t>
  </si>
  <si>
    <t>5~7층 고정매장</t>
  </si>
  <si>
    <t>팝업 A/B/C에 Gallery·Café의 연간 단위 매출과 규모 조정치를 추가 반영</t>
  </si>
  <si>
    <t>4층 복합 프로그램</t>
  </si>
  <si>
    <t>브랜드 유형별 1회 Event 매출 × 연간 회전수 × Zone 수를 적용하여 연간 Gross Sales 산출</t>
  </si>
  <si>
    <t>1~3층 팝업</t>
  </si>
  <si>
    <t>03 | 산출 로직</t>
  </si>
  <si>
    <t>글로벌 리테일 Peer 매출을 환율·매장면적·Store Capture·E4 Scale로 정규화한 단위 매출 산출</t>
  </si>
  <si>
    <t>카페·팝업·전시·리테일 Peer의 공개 단위 매출 자료 및 원천 Source 정리</t>
  </si>
  <si>
    <t>Peer Income</t>
  </si>
  <si>
    <t>Beauty / Women’s / Men’s / Rare &amp; Resale의 고정매장 단위 매출을 이용한 층별 매출 산출</t>
  </si>
  <si>
    <t>5F Income ~ 8F Income</t>
  </si>
  <si>
    <t>팝업 브랜드 A/B/C, 4층 Gallery·Café의 단위 매출과 연간 회전수를 이용한 층별 매출 산출</t>
  </si>
  <si>
    <t>1F Income ~ 4F Income</t>
  </si>
  <si>
    <t>1~8층 층별 구성, 매출 추정치 및 전체 합계를 한눈에 확인하는 요약 시트</t>
  </si>
  <si>
    <t>Income Summary</t>
  </si>
  <si>
    <t>02 | 시트 구성</t>
  </si>
  <si>
    <t>억원 / 년</t>
  </si>
  <si>
    <t>5~8층 고정매장 / 전문 운영사</t>
  </si>
  <si>
    <t>1~4층 팝업·갤러리·카페</t>
  </si>
  <si>
    <t>1~8층 연간 총 매출 Proxy</t>
  </si>
  <si>
    <t>01 | 핵심 결과</t>
  </si>
  <si>
    <t>1~4층 팝업·갤러리·카페 + 5~8층 고정매장 매출을 공개 Peer와 운영 가정을 바탕으로 추정한 Retail Gross Sales Proxy 모델</t>
  </si>
  <si>
    <t>README | Retail Income 추정 모델</t>
  </si>
  <si>
    <t>모델 구조 · 시트 구성 · 검토 가이드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</si>
</sst>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;[Red]\(#,##0\);\-"/>
    <numFmt numFmtId="177" formatCode="#,##0.0;[Red]\(#,##0.0\);\-"/>
    <numFmt numFmtId="178" formatCode="#,##0.00;[Red]\(#,##0.00\);\-"/>
    <numFmt numFmtId="179" formatCode="0.0\x"/>
    <numFmt numFmtId="180" formatCode="0.0%;[Red]\(0.0%\);\-"/>
    <numFmt numFmtId="181" formatCode="0;[Red]\(0\);\-"/>
    <numFmt numFmtId="182" formatCode="0.00;[Red]\(0.00\);\-"/>
    <numFmt numFmtId="183" formatCode="0.00\x;[Red]\(0.00\x\);\-"/>
  </numFmts>
  <fonts count="30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color rgb="FF666666"/>
      <name val="맑은 고딕"/>
      <family val="3"/>
      <charset val="129"/>
    </font>
    <font>
      <i/>
      <sz val="11"/>
      <color rgb="FF666666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0"/>
      <name val="맑은 고딕"/>
      <family val="3"/>
      <charset val="129"/>
    </font>
    <font>
      <sz val="11"/>
      <color theme="3" tint="0.249977111117893"/>
      <name val="맑은 고딕"/>
      <family val="3"/>
      <charset val="129"/>
    </font>
    <font>
      <sz val="11"/>
      <color theme="3" tint="0.249977111117893"/>
      <name val="맑은 고딕"/>
      <family val="3"/>
      <charset val="129"/>
    </font>
    <font>
      <i/>
      <sz val="11"/>
      <color rgb="FF6B6E72"/>
      <name val="맑은 고딕"/>
      <family val="3"/>
      <charset val="129"/>
    </font>
    <font>
      <sz val="11"/>
      <color rgb="FF2B2D30"/>
      <name val="맑은 고딕"/>
      <family val="3"/>
      <charset val="129"/>
    </font>
    <font>
      <sz val="11"/>
      <color rgb="FF6B6E72"/>
      <name val="맑은 고딕"/>
      <family val="3"/>
      <charset val="129"/>
    </font>
    <font>
      <sz val="11"/>
      <color rgb="FF1F2937"/>
      <name val="맑은 고딕"/>
      <family val="3"/>
      <charset val="129"/>
    </font>
    <font>
      <i/>
      <sz val="11"/>
      <color rgb="FF5B6573"/>
      <name val="맑은 고딕"/>
      <family val="3"/>
      <charset val="129"/>
    </font>
    <font>
      <sz val="11"/>
      <color rgb="FF5B6573"/>
      <name val="맑은 고딕"/>
      <family val="3"/>
      <charset val="129"/>
    </font>
    <font>
      <sz val="11"/>
      <color rgb="FF222222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name val="Carlito"/>
    </font>
    <font>
      <i/>
      <sz val="11"/>
      <color rgb="FF202020"/>
      <name val="맑은 고딕"/>
      <family val="3"/>
      <charset val="129"/>
    </font>
    <font>
      <sz val="11"/>
      <color rgb="FF404040"/>
      <name val="맑은 고딕"/>
      <family val="3"/>
      <charset val="129"/>
    </font>
    <font>
      <sz val="11"/>
      <color rgb="FF202020"/>
      <name val="맑은 고딕"/>
      <family val="3"/>
      <charset val="129"/>
    </font>
    <font>
      <sz val="11"/>
      <color rgb="FF555555"/>
      <name val="맑은 고딕"/>
      <family val="3"/>
      <charset val="129"/>
    </font>
    <font>
      <sz val="11"/>
      <color rgb="FF595959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9EEF4"/>
      </patternFill>
    </fill>
    <fill>
      <patternFill patternType="solid">
        <fgColor rgb="FFF7F9FB"/>
      </patternFill>
    </fill>
    <fill>
      <patternFill patternType="solid">
        <fgColor theme="1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3" tint="0.89992980742820516"/>
        <bgColor indexed="65"/>
      </patternFill>
    </fill>
    <fill>
      <patternFill patternType="solid">
        <fgColor rgb="FFFFF2CC"/>
      </patternFill>
    </fill>
    <fill>
      <patternFill patternType="solid">
        <fgColor rgb="FF000000"/>
      </patternFill>
    </fill>
    <fill>
      <patternFill patternType="solid">
        <fgColor rgb="FFD9E9F5"/>
      </patternFill>
    </fill>
    <fill>
      <patternFill patternType="solid">
        <fgColor rgb="FFFFF2CC"/>
      </patternFill>
    </fill>
    <fill>
      <patternFill patternType="solid">
        <fgColor rgb="FFE9F0F8"/>
      </patternFill>
    </fill>
    <fill>
      <patternFill patternType="solid">
        <fgColor rgb="FFF8F9FB"/>
      </patternFill>
    </fill>
    <fill>
      <patternFill patternType="solid">
        <fgColor rgb="FFF7FAFE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1"/>
      </patternFill>
    </fill>
    <fill>
      <patternFill patternType="solid">
        <fgColor rgb="FFFFFFFF"/>
      </patternFill>
    </fill>
    <fill>
      <patternFill patternType="solid">
        <fgColor rgb="FFFFF4CC"/>
      </patternFill>
    </fill>
    <fill>
      <patternFill patternType="solid">
        <fgColor rgb="FFE9F0F8"/>
      </patternFill>
    </fill>
    <fill>
      <patternFill patternType="solid">
        <fgColor rgb="FFF3F5F7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/>
      <diagonal/>
    </border>
    <border>
      <left/>
      <right/>
      <top style="thin">
        <color rgb="FF0C3972"/>
      </top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5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4">
      <alignment vertical="center"/>
    </xf>
    <xf numFmtId="0" fontId="24" fillId="0" borderId="4"/>
    <xf numFmtId="0" fontId="1" fillId="0" borderId="4">
      <alignment vertical="center"/>
    </xf>
  </cellStyleXfs>
  <cellXfs count="161">
    <xf numFmtId="0" fontId="0" fillId="0" borderId="0" xfId="0">
      <alignment vertical="center"/>
    </xf>
    <xf numFmtId="0" fontId="2" fillId="7" borderId="0" xfId="0" applyFont="1" applyFill="1">
      <alignment vertical="center"/>
    </xf>
    <xf numFmtId="0" fontId="1" fillId="0" borderId="0" xfId="0" applyFont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8" fontId="6" fillId="0" borderId="0" xfId="0" applyNumberFormat="1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78" fontId="7" fillId="0" borderId="0" xfId="0" applyNumberFormat="1" applyFont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9" fillId="5" borderId="0" xfId="0" applyFont="1" applyFill="1">
      <alignment vertical="center"/>
    </xf>
    <xf numFmtId="0" fontId="6" fillId="6" borderId="0" xfId="0" applyFont="1" applyFill="1">
      <alignment vertical="center"/>
    </xf>
    <xf numFmtId="0" fontId="9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176" fontId="2" fillId="7" borderId="0" xfId="0" applyNumberFormat="1" applyFont="1" applyFill="1">
      <alignment vertical="center"/>
    </xf>
    <xf numFmtId="177" fontId="2" fillId="7" borderId="0" xfId="0" applyNumberFormat="1" applyFont="1" applyFill="1">
      <alignment vertical="center"/>
    </xf>
    <xf numFmtId="178" fontId="2" fillId="7" borderId="0" xfId="0" applyNumberFormat="1" applyFont="1" applyFill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2" xfId="0" applyFont="1" applyBorder="1">
      <alignment vertical="center"/>
    </xf>
    <xf numFmtId="178" fontId="8" fillId="0" borderId="2" xfId="0" applyNumberFormat="1" applyFont="1" applyBorder="1">
      <alignment vertical="center"/>
    </xf>
    <xf numFmtId="0" fontId="7" fillId="0" borderId="0" xfId="0" applyFont="1" applyAlignment="1">
      <alignment horizontal="left" vertical="center"/>
    </xf>
    <xf numFmtId="178" fontId="8" fillId="0" borderId="0" xfId="0" applyNumberFormat="1" applyFont="1" applyAlignment="1">
      <alignment horizontal="right" vertical="center"/>
    </xf>
    <xf numFmtId="0" fontId="7" fillId="14" borderId="0" xfId="0" applyFont="1" applyFill="1" applyAlignment="1">
      <alignment horizontal="left" vertical="center"/>
    </xf>
    <xf numFmtId="0" fontId="7" fillId="14" borderId="0" xfId="0" applyFont="1" applyFill="1" applyAlignment="1">
      <alignment horizontal="right" vertical="center"/>
    </xf>
    <xf numFmtId="178" fontId="8" fillId="14" borderId="0" xfId="0" applyNumberFormat="1" applyFont="1" applyFill="1" applyAlignment="1">
      <alignment horizontal="right" vertical="center"/>
    </xf>
    <xf numFmtId="178" fontId="8" fillId="14" borderId="1" xfId="0" applyNumberFormat="1" applyFont="1" applyFill="1" applyBorder="1" applyAlignment="1">
      <alignment horizontal="right" vertical="center"/>
    </xf>
    <xf numFmtId="0" fontId="0" fillId="15" borderId="0" xfId="0" applyFill="1">
      <alignment vertical="center"/>
    </xf>
    <xf numFmtId="0" fontId="1" fillId="15" borderId="0" xfId="0" applyFont="1" applyFill="1">
      <alignment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178" fontId="8" fillId="0" borderId="0" xfId="0" applyNumberFormat="1" applyFont="1">
      <alignment vertical="center"/>
    </xf>
    <xf numFmtId="176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6" fontId="2" fillId="4" borderId="0" xfId="0" applyNumberFormat="1" applyFont="1" applyFill="1" applyAlignment="1">
      <alignment horizontal="right" vertical="center"/>
    </xf>
    <xf numFmtId="177" fontId="2" fillId="4" borderId="0" xfId="0" applyNumberFormat="1" applyFont="1" applyFill="1" applyAlignment="1">
      <alignment horizontal="right" vertical="center"/>
    </xf>
    <xf numFmtId="178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15" borderId="0" xfId="0" applyFont="1" applyFill="1">
      <alignment vertical="center"/>
    </xf>
    <xf numFmtId="177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14" fillId="0" borderId="0" xfId="0" applyFont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7" borderId="0" xfId="0" applyFont="1" applyFill="1">
      <alignment vertical="center"/>
    </xf>
    <xf numFmtId="0" fontId="14" fillId="15" borderId="0" xfId="0" applyFont="1" applyFill="1">
      <alignment vertical="center"/>
    </xf>
    <xf numFmtId="0" fontId="14" fillId="0" borderId="0" xfId="0" applyFont="1">
      <alignment vertical="center"/>
    </xf>
    <xf numFmtId="0" fontId="15" fillId="0" borderId="0" xfId="1" applyFont="1">
      <alignment vertical="center"/>
    </xf>
    <xf numFmtId="0" fontId="1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178" fontId="2" fillId="0" borderId="2" xfId="0" applyNumberFormat="1" applyFont="1" applyBorder="1">
      <alignment vertical="center"/>
    </xf>
    <xf numFmtId="0" fontId="6" fillId="3" borderId="0" xfId="0" applyFont="1" applyFill="1" applyAlignment="1">
      <alignment horizontal="right" vertical="center" wrapText="1"/>
    </xf>
    <xf numFmtId="0" fontId="16" fillId="8" borderId="0" xfId="0" applyFont="1" applyFill="1">
      <alignment vertical="center"/>
    </xf>
    <xf numFmtId="0" fontId="16" fillId="0" borderId="0" xfId="0" applyFont="1">
      <alignment vertical="center"/>
    </xf>
    <xf numFmtId="181" fontId="7" fillId="0" borderId="0" xfId="0" applyNumberFormat="1" applyFont="1" applyAlignment="1">
      <alignment horizontal="right" vertical="center"/>
    </xf>
    <xf numFmtId="180" fontId="8" fillId="0" borderId="0" xfId="0" applyNumberFormat="1" applyFont="1">
      <alignment vertical="center"/>
    </xf>
    <xf numFmtId="181" fontId="7" fillId="14" borderId="0" xfId="0" applyNumberFormat="1" applyFont="1" applyFill="1" applyAlignment="1">
      <alignment horizontal="right" vertical="center"/>
    </xf>
    <xf numFmtId="178" fontId="8" fillId="14" borderId="0" xfId="0" applyNumberFormat="1" applyFont="1" applyFill="1">
      <alignment vertical="center"/>
    </xf>
    <xf numFmtId="180" fontId="8" fillId="14" borderId="0" xfId="0" applyNumberFormat="1" applyFont="1" applyFill="1">
      <alignment vertical="center"/>
    </xf>
    <xf numFmtId="0" fontId="7" fillId="14" borderId="1" xfId="0" applyFont="1" applyFill="1" applyBorder="1">
      <alignment vertical="center"/>
    </xf>
    <xf numFmtId="181" fontId="7" fillId="14" borderId="1" xfId="0" applyNumberFormat="1" applyFont="1" applyFill="1" applyBorder="1">
      <alignment vertical="center"/>
    </xf>
    <xf numFmtId="178" fontId="8" fillId="14" borderId="1" xfId="0" applyNumberFormat="1" applyFont="1" applyFill="1" applyBorder="1">
      <alignment vertical="center"/>
    </xf>
    <xf numFmtId="0" fontId="7" fillId="14" borderId="0" xfId="0" applyFont="1" applyFill="1">
      <alignment vertical="center"/>
    </xf>
    <xf numFmtId="181" fontId="7" fillId="14" borderId="0" xfId="0" applyNumberFormat="1" applyFont="1" applyFill="1">
      <alignment vertical="center"/>
    </xf>
    <xf numFmtId="178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0" fontId="17" fillId="12" borderId="0" xfId="0" applyFont="1" applyFill="1" applyAlignment="1">
      <alignment horizontal="center" vertical="center"/>
    </xf>
    <xf numFmtId="0" fontId="17" fillId="13" borderId="3" xfId="0" applyFont="1" applyFill="1" applyBorder="1">
      <alignment vertical="center"/>
    </xf>
    <xf numFmtId="178" fontId="17" fillId="13" borderId="3" xfId="0" applyNumberFormat="1" applyFont="1" applyFill="1" applyBorder="1">
      <alignment vertical="center"/>
    </xf>
    <xf numFmtId="180" fontId="17" fillId="13" borderId="3" xfId="0" applyNumberFormat="1" applyFont="1" applyFill="1" applyBorder="1">
      <alignment vertical="center"/>
    </xf>
    <xf numFmtId="0" fontId="9" fillId="16" borderId="0" xfId="0" applyFont="1" applyFill="1">
      <alignment vertical="center"/>
    </xf>
    <xf numFmtId="0" fontId="1" fillId="16" borderId="0" xfId="0" applyFont="1" applyFill="1">
      <alignment vertical="center"/>
    </xf>
    <xf numFmtId="0" fontId="10" fillId="0" borderId="0" xfId="0" applyFont="1">
      <alignment vertical="center"/>
    </xf>
    <xf numFmtId="0" fontId="6" fillId="0" borderId="1" xfId="0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9" fontId="6" fillId="0" borderId="1" xfId="0" applyNumberFormat="1" applyFont="1" applyBorder="1" applyAlignment="1">
      <alignment vertical="center"/>
    </xf>
    <xf numFmtId="180" fontId="6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8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7" fillId="13" borderId="3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80" fontId="1" fillId="0" borderId="0" xfId="0" applyNumberFormat="1" applyFont="1" applyAlignment="1">
      <alignment vertical="center"/>
    </xf>
    <xf numFmtId="0" fontId="19" fillId="17" borderId="0" xfId="0" applyFont="1" applyFill="1" applyAlignment="1">
      <alignment vertical="center"/>
    </xf>
    <xf numFmtId="0" fontId="20" fillId="18" borderId="0" xfId="0" applyFont="1" applyFill="1" applyAlignment="1">
      <alignment vertical="center"/>
    </xf>
    <xf numFmtId="0" fontId="19" fillId="1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82" fontId="8" fillId="0" borderId="0" xfId="0" applyNumberFormat="1" applyFont="1" applyAlignment="1">
      <alignment horizontal="right" vertical="center"/>
    </xf>
    <xf numFmtId="183" fontId="7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182" fontId="19" fillId="0" borderId="0" xfId="0" applyNumberFormat="1" applyFont="1" applyAlignment="1">
      <alignment horizontal="right" vertical="center"/>
    </xf>
    <xf numFmtId="180" fontId="19" fillId="0" borderId="0" xfId="0" applyNumberFormat="1" applyFont="1" applyAlignment="1">
      <alignment horizontal="right" vertical="center"/>
    </xf>
    <xf numFmtId="0" fontId="19" fillId="20" borderId="1" xfId="0" applyFont="1" applyFill="1" applyBorder="1" applyAlignment="1">
      <alignment vertical="center"/>
    </xf>
    <xf numFmtId="182" fontId="19" fillId="20" borderId="1" xfId="0" applyNumberFormat="1" applyFont="1" applyFill="1" applyBorder="1" applyAlignment="1">
      <alignment horizontal="right" vertical="center"/>
    </xf>
    <xf numFmtId="180" fontId="19" fillId="20" borderId="1" xfId="0" applyNumberFormat="1" applyFont="1" applyFill="1" applyBorder="1" applyAlignment="1">
      <alignment horizontal="right" vertical="center"/>
    </xf>
    <xf numFmtId="0" fontId="21" fillId="20" borderId="1" xfId="0" applyFont="1" applyFill="1" applyBorder="1" applyAlignment="1">
      <alignment horizontal="left" vertical="center"/>
    </xf>
    <xf numFmtId="178" fontId="19" fillId="0" borderId="0" xfId="0" applyNumberFormat="1" applyFont="1" applyAlignment="1">
      <alignment horizontal="left" vertical="center"/>
    </xf>
    <xf numFmtId="0" fontId="19" fillId="20" borderId="3" xfId="0" applyFont="1" applyFill="1" applyBorder="1" applyAlignment="1">
      <alignment vertical="center"/>
    </xf>
    <xf numFmtId="182" fontId="19" fillId="20" borderId="3" xfId="0" applyNumberFormat="1" applyFont="1" applyFill="1" applyBorder="1" applyAlignment="1">
      <alignment horizontal="right" vertical="center"/>
    </xf>
    <xf numFmtId="180" fontId="19" fillId="20" borderId="3" xfId="0" applyNumberFormat="1" applyFont="1" applyFill="1" applyBorder="1" applyAlignment="1">
      <alignment horizontal="right" vertical="center"/>
    </xf>
    <xf numFmtId="0" fontId="21" fillId="20" borderId="3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9" fillId="22" borderId="0" xfId="0" applyFont="1" applyFill="1" applyAlignment="1">
      <alignment vertical="center"/>
    </xf>
    <xf numFmtId="0" fontId="1" fillId="22" borderId="0" xfId="0" applyFont="1" applyFill="1" applyAlignment="1">
      <alignment vertical="center"/>
    </xf>
    <xf numFmtId="0" fontId="9" fillId="22" borderId="4" xfId="0" applyFont="1" applyFill="1" applyBorder="1" applyAlignment="1">
      <alignment vertical="center"/>
    </xf>
    <xf numFmtId="0" fontId="1" fillId="22" borderId="4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180" fontId="6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2" fillId="0" borderId="0" xfId="0" applyFont="1" applyFill="1" applyAlignment="1">
      <alignment vertical="top"/>
    </xf>
    <xf numFmtId="0" fontId="9" fillId="9" borderId="0" xfId="0" applyFont="1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178" fontId="7" fillId="11" borderId="0" xfId="0" applyNumberFormat="1" applyFont="1" applyFill="1" applyAlignment="1">
      <alignment vertical="center"/>
    </xf>
    <xf numFmtId="180" fontId="7" fillId="11" borderId="0" xfId="0" applyNumberFormat="1" applyFont="1" applyFill="1" applyAlignment="1">
      <alignment vertical="center"/>
    </xf>
    <xf numFmtId="0" fontId="22" fillId="1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9" borderId="4" xfId="2" applyFont="1" applyFill="1" applyAlignment="1">
      <alignment vertical="center"/>
    </xf>
    <xf numFmtId="0" fontId="1" fillId="16" borderId="4" xfId="2" applyFont="1" applyFill="1" applyAlignment="1">
      <alignment vertical="center"/>
    </xf>
    <xf numFmtId="0" fontId="1" fillId="0" borderId="4" xfId="2" applyFont="1" applyAlignment="1">
      <alignment vertical="center"/>
    </xf>
    <xf numFmtId="0" fontId="1" fillId="22" borderId="4" xfId="2" applyFont="1" applyFill="1" applyAlignment="1">
      <alignment vertical="center"/>
    </xf>
    <xf numFmtId="177" fontId="8" fillId="11" borderId="4" xfId="2" applyNumberFormat="1" applyFont="1" applyFill="1" applyAlignment="1">
      <alignment vertical="center"/>
    </xf>
    <xf numFmtId="0" fontId="1" fillId="0" borderId="4" xfId="2" applyFont="1" applyFill="1" applyAlignment="1">
      <alignment vertical="center"/>
    </xf>
    <xf numFmtId="177" fontId="8" fillId="11" borderId="5" xfId="2" applyNumberFormat="1" applyFont="1" applyFill="1" applyBorder="1" applyAlignment="1">
      <alignment vertical="center"/>
    </xf>
    <xf numFmtId="0" fontId="25" fillId="21" borderId="4" xfId="4" applyFont="1" applyFill="1">
      <alignment vertical="center"/>
    </xf>
    <xf numFmtId="0" fontId="26" fillId="21" borderId="4" xfId="2" applyFont="1" applyFill="1" applyAlignment="1">
      <alignment vertical="center"/>
    </xf>
    <xf numFmtId="0" fontId="5" fillId="21" borderId="4" xfId="2" applyFont="1" applyFill="1" applyAlignment="1">
      <alignment vertical="center"/>
    </xf>
    <xf numFmtId="0" fontId="9" fillId="22" borderId="4" xfId="2" applyFont="1" applyFill="1" applyAlignment="1">
      <alignment vertical="center"/>
    </xf>
    <xf numFmtId="0" fontId="23" fillId="0" borderId="4" xfId="2" applyFont="1" applyFill="1" applyAlignment="1">
      <alignment vertical="center"/>
    </xf>
    <xf numFmtId="0" fontId="27" fillId="17" borderId="4" xfId="2" applyFont="1" applyFill="1" applyAlignment="1">
      <alignment vertical="center"/>
    </xf>
    <xf numFmtId="0" fontId="4" fillId="17" borderId="4" xfId="2" applyFont="1" applyFill="1" applyAlignment="1">
      <alignment vertical="center"/>
    </xf>
    <xf numFmtId="0" fontId="27" fillId="17" borderId="5" xfId="2" applyFont="1" applyFill="1" applyBorder="1" applyAlignment="1">
      <alignment vertical="center"/>
    </xf>
    <xf numFmtId="0" fontId="4" fillId="17" borderId="5" xfId="2" applyFont="1" applyFill="1" applyBorder="1" applyAlignment="1">
      <alignment vertical="center"/>
    </xf>
    <xf numFmtId="0" fontId="28" fillId="17" borderId="4" xfId="2" applyFont="1" applyFill="1" applyAlignment="1">
      <alignment vertical="center"/>
    </xf>
    <xf numFmtId="0" fontId="28" fillId="17" borderId="5" xfId="2" applyFont="1" applyFill="1" applyBorder="1" applyAlignment="1">
      <alignment vertical="center"/>
    </xf>
    <xf numFmtId="0" fontId="7" fillId="17" borderId="4" xfId="2" applyFont="1" applyFill="1" applyAlignment="1">
      <alignment vertical="center"/>
    </xf>
    <xf numFmtId="0" fontId="6" fillId="17" borderId="4" xfId="2" applyFont="1" applyFill="1" applyAlignment="1">
      <alignment vertical="center"/>
    </xf>
    <xf numFmtId="0" fontId="8" fillId="17" borderId="4" xfId="2" applyFont="1" applyFill="1" applyAlignment="1">
      <alignment vertical="center"/>
    </xf>
    <xf numFmtId="0" fontId="29" fillId="11" borderId="4" xfId="2" applyFont="1" applyFill="1" applyAlignment="1">
      <alignment vertical="center"/>
    </xf>
  </cellXfs>
  <cellStyles count="5">
    <cellStyle name="Normal" xfId="3" xr:uid="{81175458-78CE-4606-AF65-727002773379}"/>
    <cellStyle name="표준" xfId="0" builtinId="0"/>
    <cellStyle name="표준 2" xfId="2" xr:uid="{FFC747A8-7629-49BF-9CCA-D8DD082A8E73}"/>
    <cellStyle name="표준 4" xfId="4" xr:uid="{31523741-8CB4-4C1C-B98B-7FB96F97DB93}"/>
    <cellStyle name="하이퍼링크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Retail_Income_Master_README_&#54620;&#44544;.xlsx" TargetMode="External"/><Relationship Id="rId1" Type="http://schemas.openxmlformats.org/officeDocument/2006/relationships/externalLinkPath" Target="Retail_Income_Master_README_&#54620;&#445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oor Income &gt;&gt;&gt;"/>
      <sheetName val="Income Summary"/>
      <sheetName val="1F Income"/>
      <sheetName val="2F Income"/>
      <sheetName val="3F Income"/>
      <sheetName val="4F Income"/>
      <sheetName val="5F Income"/>
      <sheetName val="6F Income"/>
      <sheetName val="7F Income"/>
      <sheetName val="8F Income"/>
      <sheetName val="Assumptions &gt;&gt;&gt;"/>
      <sheetName val="Peer Income"/>
      <sheetName val="Fixed Store Peer Calc"/>
    </sheetNames>
    <sheetDataSet>
      <sheetData sheetId="0"/>
      <sheetData sheetId="1">
        <row r="6">
          <cell r="P6">
            <v>208</v>
          </cell>
        </row>
        <row r="7">
          <cell r="P7">
            <v>308</v>
          </cell>
        </row>
        <row r="8">
          <cell r="P8">
            <v>260</v>
          </cell>
        </row>
        <row r="9">
          <cell r="P9">
            <v>187.40109999999999</v>
          </cell>
        </row>
        <row r="10">
          <cell r="P10">
            <v>74.397280717346092</v>
          </cell>
        </row>
        <row r="11">
          <cell r="P11">
            <v>85.63105429372159</v>
          </cell>
        </row>
        <row r="12">
          <cell r="P12">
            <v>92.492249272960862</v>
          </cell>
        </row>
        <row r="13">
          <cell r="P13">
            <v>83.281981919722341</v>
          </cell>
        </row>
        <row r="15">
          <cell r="P15">
            <v>1299.2036662037508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llybeautyholdings.com/~/media/Files/S/Sally-Beauty/annual-report/2025-annual-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443-B7CE-4B92-9D25-CE72BB3DC10F}">
  <sheetPr>
    <tabColor rgb="FFFF0000"/>
  </sheetPr>
  <dimension ref="A1:O35"/>
  <sheetViews>
    <sheetView showGridLines="0" tabSelected="1" zoomScale="70" zoomScaleNormal="70" workbookViewId="0">
      <selection activeCell="G8" sqref="G8"/>
    </sheetView>
  </sheetViews>
  <sheetFormatPr defaultRowHeight="15" customHeight="1"/>
  <cols>
    <col min="1" max="3" width="3" style="141" customWidth="1"/>
    <col min="4" max="6" width="14" style="141" customWidth="1"/>
    <col min="7" max="10" width="15" style="141" customWidth="1"/>
    <col min="11" max="14" width="13" style="141" customWidth="1"/>
    <col min="15" max="16384" width="8.796875" style="141"/>
  </cols>
  <sheetData>
    <row r="1" spans="1:14" s="140" customFormat="1" ht="15" customHeight="1">
      <c r="A1" s="139" t="s">
        <v>567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3" spans="1:14" ht="15" customHeight="1">
      <c r="C3" s="146" t="s">
        <v>568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</row>
    <row r="4" spans="1:14" ht="15" customHeight="1">
      <c r="C4" s="148" t="s">
        <v>566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</row>
    <row r="5" spans="1:14" s="142" customFormat="1" ht="15" customHeight="1">
      <c r="A5" s="141"/>
      <c r="B5" s="141" t="s">
        <v>521</v>
      </c>
      <c r="C5" s="149" t="s">
        <v>565</v>
      </c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</row>
    <row r="6" spans="1:14" s="144" customFormat="1" ht="15" customHeight="1">
      <c r="A6" s="141"/>
      <c r="B6" s="141"/>
      <c r="C6" s="150"/>
      <c r="D6" s="151" t="s">
        <v>564</v>
      </c>
      <c r="E6" s="151"/>
      <c r="F6" s="151"/>
      <c r="G6" s="143">
        <f>'[1]Income Summary'!P15</f>
        <v>1299.2036662037508</v>
      </c>
      <c r="H6" s="143"/>
      <c r="I6" s="143"/>
      <c r="J6" s="143"/>
      <c r="K6" s="152" t="s">
        <v>561</v>
      </c>
      <c r="L6" s="152"/>
      <c r="M6" s="152"/>
      <c r="N6" s="152"/>
    </row>
    <row r="7" spans="1:14" ht="15" customHeight="1">
      <c r="D7" s="151" t="s">
        <v>563</v>
      </c>
      <c r="E7" s="151"/>
      <c r="F7" s="151"/>
      <c r="G7" s="143">
        <f>SUM('[1]Income Summary'!P6:P9)</f>
        <v>963.40110000000004</v>
      </c>
      <c r="H7" s="143"/>
      <c r="I7" s="143"/>
      <c r="J7" s="143"/>
      <c r="K7" s="152" t="s">
        <v>561</v>
      </c>
      <c r="L7" s="152"/>
      <c r="M7" s="152"/>
      <c r="N7" s="152"/>
    </row>
    <row r="8" spans="1:14" ht="15" customHeight="1">
      <c r="D8" s="153" t="s">
        <v>562</v>
      </c>
      <c r="E8" s="153"/>
      <c r="F8" s="153"/>
      <c r="G8" s="145">
        <f>SUM('[1]Income Summary'!P10:P13)</f>
        <v>335.80256620375087</v>
      </c>
      <c r="H8" s="145"/>
      <c r="I8" s="145"/>
      <c r="J8" s="145"/>
      <c r="K8" s="154" t="s">
        <v>561</v>
      </c>
      <c r="L8" s="154"/>
      <c r="M8" s="154"/>
      <c r="N8" s="154"/>
    </row>
    <row r="10" spans="1:14" s="142" customFormat="1" ht="15" customHeight="1">
      <c r="A10" s="141"/>
      <c r="B10" s="141" t="s">
        <v>521</v>
      </c>
      <c r="C10" s="149" t="s">
        <v>560</v>
      </c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</row>
    <row r="11" spans="1:14" ht="15" customHeight="1">
      <c r="D11" s="151" t="s">
        <v>559</v>
      </c>
      <c r="E11" s="151"/>
      <c r="F11" s="151"/>
      <c r="G11" s="155" t="s">
        <v>558</v>
      </c>
      <c r="H11" s="155"/>
      <c r="I11" s="155"/>
      <c r="J11" s="155"/>
      <c r="K11" s="155"/>
      <c r="L11" s="155"/>
      <c r="M11" s="155"/>
      <c r="N11" s="155"/>
    </row>
    <row r="12" spans="1:14" ht="15" customHeight="1">
      <c r="D12" s="151" t="s">
        <v>557</v>
      </c>
      <c r="E12" s="151"/>
      <c r="F12" s="151"/>
      <c r="G12" s="155" t="s">
        <v>556</v>
      </c>
      <c r="H12" s="155"/>
      <c r="I12" s="155"/>
      <c r="J12" s="155"/>
      <c r="K12" s="155"/>
      <c r="L12" s="155"/>
      <c r="M12" s="155"/>
      <c r="N12" s="155"/>
    </row>
    <row r="13" spans="1:14" ht="15" customHeight="1">
      <c r="D13" s="151" t="s">
        <v>555</v>
      </c>
      <c r="E13" s="151"/>
      <c r="F13" s="151"/>
      <c r="G13" s="155" t="s">
        <v>554</v>
      </c>
      <c r="H13" s="155"/>
      <c r="I13" s="155"/>
      <c r="J13" s="155"/>
      <c r="K13" s="155"/>
      <c r="L13" s="155"/>
      <c r="M13" s="155"/>
      <c r="N13" s="155"/>
    </row>
    <row r="14" spans="1:14" ht="15" customHeight="1">
      <c r="D14" s="151" t="s">
        <v>553</v>
      </c>
      <c r="E14" s="151"/>
      <c r="F14" s="151"/>
      <c r="G14" s="155" t="s">
        <v>552</v>
      </c>
      <c r="H14" s="155"/>
      <c r="I14" s="155"/>
      <c r="J14" s="155"/>
      <c r="K14" s="155"/>
      <c r="L14" s="155"/>
      <c r="M14" s="155"/>
      <c r="N14" s="155"/>
    </row>
    <row r="15" spans="1:14" ht="15" customHeight="1">
      <c r="D15" s="153" t="s">
        <v>412</v>
      </c>
      <c r="E15" s="153"/>
      <c r="F15" s="153"/>
      <c r="G15" s="156" t="s">
        <v>551</v>
      </c>
      <c r="H15" s="156"/>
      <c r="I15" s="156"/>
      <c r="J15" s="156"/>
      <c r="K15" s="156"/>
      <c r="L15" s="156"/>
      <c r="M15" s="156"/>
      <c r="N15" s="156"/>
    </row>
    <row r="17" spans="1:14" s="142" customFormat="1" ht="15" customHeight="1">
      <c r="A17" s="141"/>
      <c r="B17" s="141" t="s">
        <v>521</v>
      </c>
      <c r="C17" s="149" t="s">
        <v>550</v>
      </c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</row>
    <row r="18" spans="1:14" ht="15" customHeight="1">
      <c r="D18" s="151" t="s">
        <v>549</v>
      </c>
      <c r="E18" s="151"/>
      <c r="F18" s="151"/>
      <c r="G18" s="155" t="s">
        <v>548</v>
      </c>
      <c r="H18" s="155"/>
      <c r="I18" s="155"/>
      <c r="J18" s="155"/>
      <c r="K18" s="155"/>
      <c r="L18" s="155"/>
      <c r="M18" s="155"/>
      <c r="N18" s="155"/>
    </row>
    <row r="19" spans="1:14" ht="15" customHeight="1">
      <c r="D19" s="151" t="s">
        <v>547</v>
      </c>
      <c r="E19" s="151"/>
      <c r="F19" s="151"/>
      <c r="G19" s="155" t="s">
        <v>546</v>
      </c>
      <c r="H19" s="155"/>
      <c r="I19" s="155"/>
      <c r="J19" s="155"/>
      <c r="K19" s="155"/>
      <c r="L19" s="155"/>
      <c r="M19" s="155"/>
      <c r="N19" s="155"/>
    </row>
    <row r="20" spans="1:14" ht="15" customHeight="1">
      <c r="D20" s="151" t="s">
        <v>545</v>
      </c>
      <c r="E20" s="151"/>
      <c r="F20" s="151"/>
      <c r="G20" s="155" t="s">
        <v>544</v>
      </c>
      <c r="H20" s="155"/>
      <c r="I20" s="155"/>
      <c r="J20" s="155"/>
      <c r="K20" s="155"/>
      <c r="L20" s="155"/>
      <c r="M20" s="155"/>
      <c r="N20" s="155"/>
    </row>
    <row r="21" spans="1:14" ht="15" customHeight="1">
      <c r="D21" s="153" t="s">
        <v>543</v>
      </c>
      <c r="E21" s="153"/>
      <c r="F21" s="153"/>
      <c r="G21" s="156" t="s">
        <v>542</v>
      </c>
      <c r="H21" s="156"/>
      <c r="I21" s="156"/>
      <c r="J21" s="156"/>
      <c r="K21" s="156"/>
      <c r="L21" s="156"/>
      <c r="M21" s="156"/>
      <c r="N21" s="156"/>
    </row>
    <row r="23" spans="1:14" s="142" customFormat="1" ht="15" customHeight="1">
      <c r="A23" s="141"/>
      <c r="B23" s="141" t="s">
        <v>521</v>
      </c>
      <c r="C23" s="149" t="s">
        <v>541</v>
      </c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</row>
    <row r="24" spans="1:14" ht="15" customHeight="1">
      <c r="D24" s="151" t="s">
        <v>540</v>
      </c>
      <c r="E24" s="151"/>
      <c r="F24" s="151"/>
      <c r="G24" s="155" t="s">
        <v>539</v>
      </c>
      <c r="H24" s="155"/>
      <c r="I24" s="155"/>
      <c r="J24" s="155"/>
      <c r="K24" s="155"/>
      <c r="L24" s="155"/>
      <c r="M24" s="155"/>
      <c r="N24" s="155"/>
    </row>
    <row r="25" spans="1:14" ht="15" customHeight="1">
      <c r="D25" s="151" t="s">
        <v>538</v>
      </c>
      <c r="E25" s="151"/>
      <c r="F25" s="151"/>
      <c r="G25" s="155" t="s">
        <v>537</v>
      </c>
      <c r="H25" s="155"/>
      <c r="I25" s="155"/>
      <c r="J25" s="155"/>
      <c r="K25" s="155"/>
      <c r="L25" s="155"/>
      <c r="M25" s="155"/>
      <c r="N25" s="155"/>
    </row>
    <row r="26" spans="1:14" ht="15" customHeight="1">
      <c r="D26" s="151" t="s">
        <v>536</v>
      </c>
      <c r="E26" s="151"/>
      <c r="F26" s="151"/>
      <c r="G26" s="155" t="s">
        <v>535</v>
      </c>
      <c r="H26" s="155"/>
      <c r="I26" s="155"/>
      <c r="J26" s="155"/>
      <c r="K26" s="155"/>
      <c r="L26" s="155"/>
      <c r="M26" s="155"/>
      <c r="N26" s="155"/>
    </row>
    <row r="27" spans="1:14" ht="15" customHeight="1">
      <c r="D27" s="153" t="s">
        <v>534</v>
      </c>
      <c r="E27" s="153"/>
      <c r="F27" s="153"/>
      <c r="G27" s="156" t="s">
        <v>533</v>
      </c>
      <c r="H27" s="156"/>
      <c r="I27" s="156"/>
      <c r="J27" s="156"/>
      <c r="K27" s="156"/>
      <c r="L27" s="156"/>
      <c r="M27" s="156"/>
      <c r="N27" s="156"/>
    </row>
    <row r="29" spans="1:14" s="142" customFormat="1" ht="15" customHeight="1">
      <c r="A29" s="141"/>
      <c r="B29" s="141" t="s">
        <v>521</v>
      </c>
      <c r="C29" s="149" t="s">
        <v>532</v>
      </c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</row>
    <row r="30" spans="1:14" ht="15" customHeight="1">
      <c r="D30" s="157" t="s">
        <v>531</v>
      </c>
      <c r="E30" s="157"/>
      <c r="F30" s="157"/>
      <c r="G30" s="155" t="s">
        <v>530</v>
      </c>
      <c r="H30" s="155"/>
      <c r="I30" s="155"/>
      <c r="J30" s="155"/>
      <c r="K30" s="155"/>
      <c r="L30" s="155"/>
      <c r="M30" s="155"/>
      <c r="N30" s="155"/>
    </row>
    <row r="31" spans="1:14" ht="15" customHeight="1">
      <c r="D31" s="158" t="s">
        <v>529</v>
      </c>
      <c r="E31" s="158"/>
      <c r="F31" s="158"/>
      <c r="G31" s="155" t="s">
        <v>528</v>
      </c>
      <c r="H31" s="155"/>
      <c r="I31" s="155"/>
      <c r="J31" s="155"/>
      <c r="K31" s="155"/>
      <c r="L31" s="155"/>
      <c r="M31" s="155"/>
      <c r="N31" s="155"/>
    </row>
    <row r="32" spans="1:14" ht="15" customHeight="1">
      <c r="D32" s="159" t="s">
        <v>527</v>
      </c>
      <c r="E32" s="159"/>
      <c r="F32" s="159"/>
      <c r="G32" s="155" t="s">
        <v>526</v>
      </c>
      <c r="H32" s="155"/>
      <c r="I32" s="155"/>
      <c r="J32" s="155"/>
      <c r="K32" s="155"/>
      <c r="L32" s="155"/>
      <c r="M32" s="155"/>
      <c r="N32" s="155"/>
    </row>
    <row r="33" spans="3:15" ht="15" customHeight="1">
      <c r="D33" s="153" t="s">
        <v>525</v>
      </c>
      <c r="E33" s="153"/>
      <c r="F33" s="153"/>
      <c r="G33" s="156" t="s">
        <v>524</v>
      </c>
      <c r="H33" s="156"/>
      <c r="I33" s="156"/>
      <c r="J33" s="156"/>
      <c r="K33" s="156"/>
      <c r="L33" s="156"/>
      <c r="M33" s="156"/>
      <c r="N33" s="156"/>
    </row>
    <row r="35" spans="3:15" ht="15" customHeight="1">
      <c r="C35" s="160" t="s">
        <v>523</v>
      </c>
      <c r="D35" s="160"/>
      <c r="E35" s="160" t="s">
        <v>522</v>
      </c>
      <c r="F35" s="160"/>
      <c r="G35" s="160"/>
      <c r="H35" s="160"/>
      <c r="I35" s="160"/>
      <c r="J35" s="160"/>
      <c r="K35" s="160"/>
      <c r="L35" s="160"/>
      <c r="M35" s="160"/>
      <c r="N35" s="160"/>
      <c r="O35" s="16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9.9978637043366805E-2"/>
  </sheetPr>
  <dimension ref="A1"/>
  <sheetViews>
    <sheetView topLeftCell="A1048576" workbookViewId="0">
      <selection sqref="A1:XFD1048576"/>
    </sheetView>
  </sheetViews>
  <sheetFormatPr defaultRowHeight="17.399999999999999" zeroHeight="1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89992980742820516"/>
  </sheetPr>
  <dimension ref="A1:Q15"/>
  <sheetViews>
    <sheetView showGridLines="0" zoomScale="70" zoomScaleNormal="70" workbookViewId="0">
      <selection activeCell="K41" sqref="K41"/>
    </sheetView>
  </sheetViews>
  <sheetFormatPr defaultColWidth="20.69921875" defaultRowHeight="17.399999999999999"/>
  <cols>
    <col min="1" max="3" width="1.69921875" customWidth="1"/>
    <col min="4" max="4" width="8" style="2" customWidth="1"/>
    <col min="5" max="5" width="25" style="2" customWidth="1"/>
    <col min="6" max="8" width="8" style="2" customWidth="1"/>
    <col min="9" max="10" width="10" style="2" customWidth="1"/>
    <col min="11" max="11" width="19" style="2" customWidth="1"/>
    <col min="12" max="14" width="15" style="2" customWidth="1"/>
    <col min="15" max="15" width="19" style="2" customWidth="1"/>
    <col min="16" max="16" width="14" style="2" customWidth="1"/>
    <col min="17" max="17" width="12" style="2" customWidth="1"/>
    <col min="18" max="16384" width="20.69921875" style="2"/>
  </cols>
  <sheetData>
    <row r="1" spans="1:17" s="89" customFormat="1" ht="15" customHeight="1">
      <c r="A1"/>
      <c r="B1"/>
      <c r="C1" s="2" t="s">
        <v>4</v>
      </c>
      <c r="D1" s="88" t="s">
        <v>320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</row>
    <row r="2" spans="1:17" ht="15" customHeight="1">
      <c r="D2" s="70" t="s">
        <v>321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1"/>
    </row>
    <row r="4" spans="1:17" s="89" customFormat="1" ht="15" customHeight="1">
      <c r="A4"/>
      <c r="B4"/>
      <c r="C4" s="2" t="s">
        <v>4</v>
      </c>
      <c r="D4" s="88" t="s">
        <v>322</v>
      </c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</row>
    <row r="5" spans="1:17" ht="15" customHeight="1">
      <c r="D5" s="84" t="s">
        <v>323</v>
      </c>
      <c r="E5" s="84" t="s">
        <v>324</v>
      </c>
      <c r="F5" s="84" t="s">
        <v>325</v>
      </c>
      <c r="G5" s="84" t="s">
        <v>326</v>
      </c>
      <c r="H5" s="84" t="s">
        <v>327</v>
      </c>
      <c r="I5" s="84" t="s">
        <v>328</v>
      </c>
      <c r="J5" s="84" t="s">
        <v>329</v>
      </c>
      <c r="K5" s="84" t="s">
        <v>330</v>
      </c>
      <c r="L5" s="84" t="s">
        <v>331</v>
      </c>
      <c r="M5" s="84" t="s">
        <v>332</v>
      </c>
      <c r="N5" s="84" t="s">
        <v>333</v>
      </c>
      <c r="O5" s="84" t="s">
        <v>334</v>
      </c>
      <c r="P5" s="84" t="s">
        <v>335</v>
      </c>
      <c r="Q5" s="84" t="s">
        <v>336</v>
      </c>
    </row>
    <row r="6" spans="1:17" ht="15" customHeight="1">
      <c r="D6" s="37" t="s">
        <v>337</v>
      </c>
      <c r="E6" s="11" t="s">
        <v>338</v>
      </c>
      <c r="F6" s="72">
        <v>1</v>
      </c>
      <c r="G6" s="72">
        <v>1</v>
      </c>
      <c r="H6" s="72">
        <v>5</v>
      </c>
      <c r="I6" s="72">
        <v>0</v>
      </c>
      <c r="J6" s="72">
        <v>0</v>
      </c>
      <c r="K6" s="72">
        <v>0</v>
      </c>
      <c r="L6" s="38">
        <f>'1F Income'!K16</f>
        <v>60</v>
      </c>
      <c r="M6" s="38">
        <f>'1F Income'!K17</f>
        <v>28</v>
      </c>
      <c r="N6" s="38">
        <f>'1F Income'!K18</f>
        <v>120</v>
      </c>
      <c r="O6" s="38">
        <v>0</v>
      </c>
      <c r="P6" s="48">
        <f>'1F Income'!K20</f>
        <v>208</v>
      </c>
      <c r="Q6" s="73">
        <f t="shared" ref="Q6:Q13" si="0">P6/$P$15</f>
        <v>0.16009807038781854</v>
      </c>
    </row>
    <row r="7" spans="1:17" ht="15" customHeight="1">
      <c r="D7" s="37" t="s">
        <v>339</v>
      </c>
      <c r="E7" s="11" t="s">
        <v>340</v>
      </c>
      <c r="F7" s="72">
        <v>1</v>
      </c>
      <c r="G7" s="72">
        <v>2</v>
      </c>
      <c r="H7" s="72">
        <v>8</v>
      </c>
      <c r="I7" s="72">
        <v>0</v>
      </c>
      <c r="J7" s="72">
        <v>0</v>
      </c>
      <c r="K7" s="72">
        <v>0</v>
      </c>
      <c r="L7" s="38">
        <f>'2F Income'!K16</f>
        <v>60</v>
      </c>
      <c r="M7" s="38">
        <f>'2F Income'!K17</f>
        <v>56</v>
      </c>
      <c r="N7" s="38">
        <f>'2F Income'!K18</f>
        <v>192</v>
      </c>
      <c r="O7" s="38">
        <v>0</v>
      </c>
      <c r="P7" s="48">
        <f>'2F Income'!K20</f>
        <v>308</v>
      </c>
      <c r="Q7" s="73">
        <f t="shared" si="0"/>
        <v>0.23706829653580822</v>
      </c>
    </row>
    <row r="8" spans="1:17" ht="15" customHeight="1">
      <c r="D8" s="37" t="s">
        <v>341</v>
      </c>
      <c r="E8" s="11" t="s">
        <v>342</v>
      </c>
      <c r="F8" s="72">
        <v>1</v>
      </c>
      <c r="G8" s="72">
        <v>2</v>
      </c>
      <c r="H8" s="72">
        <v>6</v>
      </c>
      <c r="I8" s="72">
        <v>0</v>
      </c>
      <c r="J8" s="72">
        <v>0</v>
      </c>
      <c r="K8" s="72">
        <v>0</v>
      </c>
      <c r="L8" s="38">
        <f>'3F Income'!K16</f>
        <v>60</v>
      </c>
      <c r="M8" s="38">
        <f>'3F Income'!K17</f>
        <v>56</v>
      </c>
      <c r="N8" s="38">
        <f>'3F Income'!K18</f>
        <v>144</v>
      </c>
      <c r="O8" s="38">
        <v>0</v>
      </c>
      <c r="P8" s="48">
        <f>'3F Income'!K20</f>
        <v>260</v>
      </c>
      <c r="Q8" s="73">
        <f t="shared" si="0"/>
        <v>0.20012258798477317</v>
      </c>
    </row>
    <row r="9" spans="1:17" ht="15" customHeight="1">
      <c r="D9" s="37" t="s">
        <v>343</v>
      </c>
      <c r="E9" s="11" t="s">
        <v>344</v>
      </c>
      <c r="F9" s="72">
        <v>2</v>
      </c>
      <c r="G9" s="72">
        <v>1</v>
      </c>
      <c r="H9" s="72">
        <v>1</v>
      </c>
      <c r="I9" s="72">
        <v>1</v>
      </c>
      <c r="J9" s="72">
        <v>1</v>
      </c>
      <c r="K9" s="72">
        <v>0</v>
      </c>
      <c r="L9" s="38">
        <f>'4F Income'!K17</f>
        <v>120</v>
      </c>
      <c r="M9" s="38">
        <f>'4F Income'!K18</f>
        <v>28</v>
      </c>
      <c r="N9" s="38">
        <f>'4F Income'!K19</f>
        <v>24</v>
      </c>
      <c r="O9" s="38">
        <f>SUM('4F Income'!K20:K21)</f>
        <v>15.4011</v>
      </c>
      <c r="P9" s="48">
        <f>'4F Income'!K23</f>
        <v>187.40109999999999</v>
      </c>
      <c r="Q9" s="73">
        <f t="shared" si="0"/>
        <v>0.14424305047382027</v>
      </c>
    </row>
    <row r="10" spans="1:17" ht="15" customHeight="1">
      <c r="D10" s="39" t="s">
        <v>345</v>
      </c>
      <c r="E10" s="40" t="s">
        <v>346</v>
      </c>
      <c r="F10" s="74">
        <v>0</v>
      </c>
      <c r="G10" s="74">
        <v>0</v>
      </c>
      <c r="H10" s="74">
        <v>0</v>
      </c>
      <c r="I10" s="74">
        <v>0</v>
      </c>
      <c r="J10" s="74">
        <v>0</v>
      </c>
      <c r="K10" s="74">
        <v>8</v>
      </c>
      <c r="L10" s="41">
        <v>0</v>
      </c>
      <c r="M10" s="41">
        <v>0</v>
      </c>
      <c r="N10" s="41">
        <v>0</v>
      </c>
      <c r="O10" s="41">
        <f>'5F Income'!K16</f>
        <v>74.397280717346092</v>
      </c>
      <c r="P10" s="75">
        <f>'5F Income'!K20</f>
        <v>74.397280717346092</v>
      </c>
      <c r="Q10" s="76">
        <f t="shared" si="0"/>
        <v>5.7263755216096009E-2</v>
      </c>
    </row>
    <row r="11" spans="1:17" ht="15" customHeight="1">
      <c r="D11" s="77" t="s">
        <v>347</v>
      </c>
      <c r="E11" s="77" t="s">
        <v>314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5</v>
      </c>
      <c r="L11" s="79">
        <v>0</v>
      </c>
      <c r="M11" s="79">
        <v>0</v>
      </c>
      <c r="N11" s="42">
        <v>0</v>
      </c>
      <c r="O11" s="41">
        <f>'6F Income'!K16</f>
        <v>85.63105429372159</v>
      </c>
      <c r="P11" s="75">
        <f>'6F Income'!K20</f>
        <v>85.63105429372159</v>
      </c>
      <c r="Q11" s="76">
        <f t="shared" si="0"/>
        <v>6.5910416142785339E-2</v>
      </c>
    </row>
    <row r="12" spans="1:17" ht="15" customHeight="1">
      <c r="D12" s="80" t="s">
        <v>348</v>
      </c>
      <c r="E12" s="80" t="s">
        <v>316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>
        <v>5</v>
      </c>
      <c r="L12" s="75">
        <v>0</v>
      </c>
      <c r="M12" s="75">
        <v>0</v>
      </c>
      <c r="N12" s="75">
        <v>0</v>
      </c>
      <c r="O12" s="75">
        <f>'7F Income'!K16</f>
        <v>92.492249272960862</v>
      </c>
      <c r="P12" s="75">
        <f>'7F Income'!K20</f>
        <v>92.492249272960862</v>
      </c>
      <c r="Q12" s="76">
        <f t="shared" si="0"/>
        <v>7.119149343476032E-2</v>
      </c>
    </row>
    <row r="13" spans="1:17" ht="15" customHeight="1">
      <c r="D13" s="80" t="s">
        <v>349</v>
      </c>
      <c r="E13" s="80" t="s">
        <v>350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1</v>
      </c>
      <c r="L13" s="75">
        <v>0</v>
      </c>
      <c r="M13" s="75">
        <v>0</v>
      </c>
      <c r="N13" s="75">
        <v>0</v>
      </c>
      <c r="O13" s="75">
        <f>'8F Income'!K16</f>
        <v>83.281981919722341</v>
      </c>
      <c r="P13" s="75">
        <f>'8F Income'!K20</f>
        <v>83.281981919722341</v>
      </c>
      <c r="Q13" s="76">
        <f t="shared" si="0"/>
        <v>6.410232982413816E-2</v>
      </c>
    </row>
    <row r="14" spans="1:17" ht="15" customHeight="1">
      <c r="L14" s="82"/>
      <c r="M14" s="82"/>
      <c r="N14" s="82"/>
      <c r="O14" s="82"/>
      <c r="P14" s="82"/>
      <c r="Q14" s="83"/>
    </row>
    <row r="15" spans="1:17" ht="15" customHeight="1">
      <c r="D15" s="85" t="s">
        <v>351</v>
      </c>
      <c r="E15" s="85"/>
      <c r="F15" s="85"/>
      <c r="G15" s="85"/>
      <c r="H15" s="85"/>
      <c r="I15" s="85"/>
      <c r="J15" s="85"/>
      <c r="K15" s="85"/>
      <c r="L15" s="86"/>
      <c r="M15" s="86"/>
      <c r="N15" s="86"/>
      <c r="O15" s="86"/>
      <c r="P15" s="86">
        <f>SUM(P6:P13)</f>
        <v>1299.2036662037508</v>
      </c>
      <c r="Q15" s="87">
        <f>1</f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89992980742820516"/>
  </sheetPr>
  <dimension ref="A1:M20"/>
  <sheetViews>
    <sheetView showGridLines="0" topLeftCell="D1" zoomScale="85" zoomScaleNormal="85" workbookViewId="0">
      <selection activeCell="D18" sqref="D18"/>
    </sheetView>
  </sheetViews>
  <sheetFormatPr defaultColWidth="30.69921875" defaultRowHeight="15" customHeight="1"/>
  <cols>
    <col min="1" max="2" width="1.69921875" style="99" customWidth="1"/>
    <col min="3" max="3" width="2" style="99" customWidth="1"/>
    <col min="4" max="13" width="30.69921875" style="99" customWidth="1"/>
    <col min="14" max="16384" width="30.69921875" style="99"/>
  </cols>
  <sheetData>
    <row r="1" spans="1:13" s="124" customFormat="1" ht="15" customHeight="1">
      <c r="A1" s="99"/>
      <c r="B1" s="99"/>
      <c r="C1" s="99"/>
      <c r="D1" s="123" t="s">
        <v>352</v>
      </c>
      <c r="E1" s="123"/>
      <c r="F1" s="123"/>
      <c r="G1" s="123"/>
      <c r="H1" s="123"/>
      <c r="I1" s="123"/>
      <c r="J1" s="123"/>
      <c r="K1" s="123"/>
      <c r="L1" s="123"/>
      <c r="M1" s="123"/>
    </row>
    <row r="2" spans="1:13" ht="15" customHeight="1">
      <c r="D2" s="104" t="s">
        <v>353</v>
      </c>
      <c r="E2" s="96"/>
      <c r="F2" s="96"/>
      <c r="G2" s="96"/>
      <c r="H2" s="96"/>
      <c r="I2" s="96"/>
      <c r="J2" s="96"/>
      <c r="K2" s="96"/>
      <c r="L2" s="96"/>
      <c r="M2" s="96"/>
    </row>
    <row r="3" spans="1:13" ht="15" customHeight="1">
      <c r="D3" s="105" t="s">
        <v>354</v>
      </c>
      <c r="E3" s="97"/>
      <c r="F3" s="97"/>
      <c r="G3" s="97"/>
      <c r="H3" s="97"/>
      <c r="I3" s="97"/>
      <c r="J3" s="97"/>
      <c r="K3" s="97"/>
      <c r="L3" s="97"/>
      <c r="M3" s="97"/>
    </row>
    <row r="5" spans="1:13" s="124" customFormat="1" ht="15" customHeight="1">
      <c r="A5" s="99"/>
      <c r="B5" s="99"/>
      <c r="C5" s="99"/>
      <c r="D5" s="123" t="s">
        <v>355</v>
      </c>
      <c r="E5" s="123"/>
      <c r="F5" s="123"/>
      <c r="G5" s="123"/>
      <c r="H5" s="123"/>
      <c r="I5" s="123"/>
      <c r="J5" s="123"/>
      <c r="K5" s="123"/>
      <c r="L5" s="123"/>
      <c r="M5" s="123"/>
    </row>
    <row r="6" spans="1:13" ht="15" customHeight="1">
      <c r="D6" s="106" t="s">
        <v>6</v>
      </c>
      <c r="E6" s="106" t="s">
        <v>356</v>
      </c>
      <c r="F6" s="106" t="s">
        <v>8</v>
      </c>
      <c r="G6" s="106" t="s">
        <v>357</v>
      </c>
      <c r="H6" s="106" t="s">
        <v>358</v>
      </c>
      <c r="I6" s="106" t="s">
        <v>42</v>
      </c>
      <c r="J6" s="25"/>
      <c r="K6" s="25"/>
      <c r="L6" s="25"/>
      <c r="M6" s="26"/>
    </row>
    <row r="7" spans="1:13" ht="15" customHeight="1">
      <c r="D7" s="107" t="s">
        <v>359</v>
      </c>
      <c r="E7" s="108">
        <f>MEDIAN('Peer Income'!N47:N51)</f>
        <v>15</v>
      </c>
      <c r="F7" s="107" t="s">
        <v>16</v>
      </c>
      <c r="G7" s="109">
        <v>4</v>
      </c>
      <c r="H7" s="107" t="s">
        <v>360</v>
      </c>
      <c r="I7" s="110" t="s">
        <v>148</v>
      </c>
      <c r="J7" s="25"/>
      <c r="K7" s="25"/>
      <c r="L7" s="25"/>
      <c r="M7" s="26"/>
    </row>
    <row r="8" spans="1:13" ht="15" customHeight="1">
      <c r="D8" s="107" t="s">
        <v>361</v>
      </c>
      <c r="E8" s="108">
        <f>MEDIAN('Peer Income'!N52:N54)</f>
        <v>7</v>
      </c>
      <c r="F8" s="107" t="s">
        <v>16</v>
      </c>
      <c r="G8" s="109">
        <v>4</v>
      </c>
      <c r="H8" s="107" t="s">
        <v>362</v>
      </c>
      <c r="I8" s="110" t="s">
        <v>174</v>
      </c>
      <c r="J8" s="25"/>
      <c r="K8" s="25"/>
      <c r="L8" s="25"/>
      <c r="M8" s="26"/>
    </row>
    <row r="9" spans="1:13" ht="15" customHeight="1">
      <c r="D9" s="107" t="s">
        <v>363</v>
      </c>
      <c r="E9" s="108">
        <f>'Peer Income'!N55</f>
        <v>6</v>
      </c>
      <c r="F9" s="107" t="s">
        <v>16</v>
      </c>
      <c r="G9" s="109">
        <v>4</v>
      </c>
      <c r="H9" s="107" t="s">
        <v>188</v>
      </c>
      <c r="I9" s="110" t="s">
        <v>191</v>
      </c>
      <c r="J9" s="25"/>
      <c r="K9" s="25"/>
      <c r="L9" s="25"/>
      <c r="M9" s="26"/>
    </row>
    <row r="10" spans="1:13" ht="15" customHeight="1">
      <c r="D10" s="107"/>
      <c r="E10" s="108"/>
      <c r="F10" s="107"/>
      <c r="G10" s="109"/>
      <c r="H10" s="107"/>
      <c r="I10" s="110"/>
      <c r="J10" s="25"/>
      <c r="K10" s="25"/>
      <c r="L10" s="25"/>
      <c r="M10" s="26"/>
    </row>
    <row r="11" spans="1:13" ht="15" customHeight="1">
      <c r="D11" s="107"/>
      <c r="E11" s="108"/>
      <c r="F11" s="107"/>
      <c r="G11" s="109"/>
      <c r="H11" s="107"/>
      <c r="I11" s="110"/>
      <c r="J11" s="25"/>
      <c r="K11" s="25"/>
      <c r="L11" s="25"/>
      <c r="M11" s="26"/>
    </row>
    <row r="12" spans="1:13" ht="15" customHeight="1">
      <c r="D12" s="26"/>
      <c r="E12" s="26"/>
      <c r="F12" s="25"/>
      <c r="G12" s="25"/>
      <c r="H12" s="26"/>
      <c r="I12" s="25"/>
      <c r="J12" s="25"/>
      <c r="K12" s="25"/>
      <c r="L12" s="25"/>
      <c r="M12" s="26"/>
    </row>
    <row r="13" spans="1:13" ht="15" customHeight="1">
      <c r="D13" s="26"/>
      <c r="E13" s="26"/>
      <c r="F13" s="25"/>
      <c r="G13" s="25"/>
      <c r="H13" s="26"/>
      <c r="I13" s="25"/>
      <c r="J13" s="25"/>
      <c r="K13" s="25"/>
      <c r="L13" s="25"/>
      <c r="M13" s="26"/>
    </row>
    <row r="14" spans="1:13" s="124" customFormat="1" ht="15" customHeight="1">
      <c r="A14" s="99"/>
      <c r="B14" s="99"/>
      <c r="C14" s="99"/>
      <c r="D14" s="123" t="s">
        <v>364</v>
      </c>
      <c r="E14" s="123"/>
      <c r="F14" s="123"/>
      <c r="G14" s="123"/>
      <c r="H14" s="123"/>
      <c r="I14" s="123"/>
      <c r="J14" s="123"/>
      <c r="K14" s="123"/>
      <c r="L14" s="123"/>
      <c r="M14" s="123"/>
    </row>
    <row r="15" spans="1:13" ht="15" customHeight="1">
      <c r="D15" s="106" t="s">
        <v>365</v>
      </c>
      <c r="E15" s="106" t="s">
        <v>366</v>
      </c>
      <c r="F15" s="106" t="s">
        <v>367</v>
      </c>
      <c r="G15" s="106" t="s">
        <v>368</v>
      </c>
      <c r="H15" s="106" t="s">
        <v>8</v>
      </c>
      <c r="I15" s="106" t="s">
        <v>369</v>
      </c>
      <c r="J15" s="106" t="s">
        <v>370</v>
      </c>
      <c r="K15" s="106" t="s">
        <v>371</v>
      </c>
      <c r="L15" s="106" t="s">
        <v>372</v>
      </c>
      <c r="M15" s="106" t="s">
        <v>373</v>
      </c>
    </row>
    <row r="16" spans="1:13" ht="15" customHeight="1">
      <c r="D16" s="107" t="s">
        <v>374</v>
      </c>
      <c r="E16" s="107" t="s">
        <v>375</v>
      </c>
      <c r="F16" s="72">
        <v>1</v>
      </c>
      <c r="G16" s="108">
        <f>E7</f>
        <v>15</v>
      </c>
      <c r="H16" s="107" t="s">
        <v>16</v>
      </c>
      <c r="I16" s="109">
        <v>4</v>
      </c>
      <c r="J16" s="32">
        <v>1</v>
      </c>
      <c r="K16" s="111">
        <f>F16*G16*I16*J16</f>
        <v>60</v>
      </c>
      <c r="L16" s="112">
        <f>IF($K$20=0,"",K16/$K$20)</f>
        <v>0.28846153846153844</v>
      </c>
      <c r="M16" s="107" t="str">
        <f>H7</f>
        <v>Median: Isegye Idol / SEVENTEEN / Hello Kitty / Fu Bao / Nintendo</v>
      </c>
    </row>
    <row r="17" spans="4:13" ht="15" customHeight="1">
      <c r="D17" s="107" t="s">
        <v>376</v>
      </c>
      <c r="E17" s="107" t="s">
        <v>377</v>
      </c>
      <c r="F17" s="72">
        <v>1</v>
      </c>
      <c r="G17" s="108">
        <f>E8</f>
        <v>7</v>
      </c>
      <c r="H17" s="107" t="s">
        <v>16</v>
      </c>
      <c r="I17" s="109">
        <v>4</v>
      </c>
      <c r="J17" s="32">
        <v>1</v>
      </c>
      <c r="K17" s="111">
        <f>F17*G17*I17*J17</f>
        <v>28</v>
      </c>
      <c r="L17" s="112">
        <f>IF($K$20=0,"",K17/$K$20)</f>
        <v>0.13461538461538461</v>
      </c>
      <c r="M17" s="107" t="str">
        <f>H8</f>
        <v>Median: Matin Kim Busan / Osaka / SATUR</v>
      </c>
    </row>
    <row r="18" spans="4:13" ht="15" customHeight="1">
      <c r="D18" s="107" t="s">
        <v>378</v>
      </c>
      <c r="E18" s="107" t="s">
        <v>379</v>
      </c>
      <c r="F18" s="72">
        <v>5</v>
      </c>
      <c r="G18" s="108">
        <f>E9</f>
        <v>6</v>
      </c>
      <c r="H18" s="107" t="s">
        <v>16</v>
      </c>
      <c r="I18" s="109">
        <v>4</v>
      </c>
      <c r="J18" s="32">
        <v>1</v>
      </c>
      <c r="K18" s="111">
        <f>F18*G18*I18*J18</f>
        <v>120</v>
      </c>
      <c r="L18" s="112">
        <f>IF($K$20=0,"",K18/$K$20)</f>
        <v>0.57692307692307687</v>
      </c>
      <c r="M18" s="107" t="str">
        <f>H9</f>
        <v>The Barnnet first Korea popup</v>
      </c>
    </row>
    <row r="19" spans="4:13" ht="15" customHeight="1">
      <c r="D19" s="26"/>
      <c r="E19" s="26"/>
      <c r="F19" s="27"/>
      <c r="G19" s="28"/>
      <c r="H19" s="26"/>
      <c r="I19" s="29"/>
      <c r="J19" s="30"/>
      <c r="K19" s="33"/>
      <c r="L19" s="31"/>
      <c r="M19" s="26"/>
    </row>
    <row r="20" spans="4:13" ht="15" customHeight="1">
      <c r="D20" s="113" t="s">
        <v>380</v>
      </c>
      <c r="E20" s="91"/>
      <c r="F20" s="92"/>
      <c r="G20" s="93"/>
      <c r="H20" s="91"/>
      <c r="I20" s="94"/>
      <c r="J20" s="95"/>
      <c r="K20" s="114">
        <f>SUM(K16:K18)</f>
        <v>208</v>
      </c>
      <c r="L20" s="115">
        <v>1</v>
      </c>
      <c r="M20" s="116" t="s">
        <v>381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89992980742820516"/>
  </sheetPr>
  <dimension ref="A1:M20"/>
  <sheetViews>
    <sheetView showGridLines="0" zoomScale="55" zoomScaleNormal="55" workbookViewId="0">
      <selection activeCell="D12" sqref="D12:XFD12"/>
    </sheetView>
  </sheetViews>
  <sheetFormatPr defaultColWidth="30.69921875" defaultRowHeight="15" customHeight="1"/>
  <cols>
    <col min="1" max="2" width="1.69921875" style="99" customWidth="1"/>
    <col min="3" max="3" width="2" style="99" customWidth="1"/>
    <col min="4" max="16384" width="30.69921875" style="99"/>
  </cols>
  <sheetData>
    <row r="1" spans="1:13" s="124" customFormat="1" ht="15" customHeight="1">
      <c r="A1" s="99"/>
      <c r="B1" s="99"/>
      <c r="C1" s="99"/>
      <c r="D1" s="123" t="s">
        <v>382</v>
      </c>
      <c r="E1" s="123"/>
      <c r="F1" s="123"/>
      <c r="G1" s="123"/>
      <c r="H1" s="123"/>
      <c r="I1" s="123"/>
      <c r="J1" s="123"/>
      <c r="K1" s="123"/>
      <c r="L1" s="123"/>
      <c r="M1" s="123"/>
    </row>
    <row r="2" spans="1:13" ht="15" customHeight="1">
      <c r="D2" s="104" t="s">
        <v>383</v>
      </c>
      <c r="E2" s="96"/>
      <c r="F2" s="96"/>
      <c r="G2" s="96"/>
      <c r="H2" s="96"/>
      <c r="I2" s="96"/>
      <c r="J2" s="96"/>
      <c r="K2" s="96"/>
      <c r="L2" s="96"/>
      <c r="M2" s="96"/>
    </row>
    <row r="3" spans="1:13" ht="15" customHeight="1">
      <c r="D3" s="105" t="s">
        <v>354</v>
      </c>
      <c r="E3" s="97"/>
      <c r="F3" s="97"/>
      <c r="G3" s="97"/>
      <c r="H3" s="97"/>
      <c r="I3" s="97"/>
      <c r="J3" s="97"/>
      <c r="K3" s="97"/>
      <c r="L3" s="97"/>
      <c r="M3" s="97"/>
    </row>
    <row r="5" spans="1:13" s="124" customFormat="1" ht="15" customHeight="1">
      <c r="A5" s="99"/>
      <c r="B5" s="99"/>
      <c r="C5" s="99"/>
      <c r="D5" s="123" t="s">
        <v>355</v>
      </c>
      <c r="E5" s="123"/>
      <c r="F5" s="123"/>
      <c r="G5" s="123"/>
      <c r="H5" s="123"/>
      <c r="I5" s="123"/>
      <c r="J5" s="123"/>
      <c r="K5" s="123"/>
      <c r="L5" s="123"/>
      <c r="M5" s="123"/>
    </row>
    <row r="6" spans="1:13" ht="15" customHeight="1">
      <c r="D6" s="106" t="s">
        <v>6</v>
      </c>
      <c r="E6" s="106" t="s">
        <v>356</v>
      </c>
      <c r="F6" s="106" t="s">
        <v>8</v>
      </c>
      <c r="G6" s="106" t="s">
        <v>357</v>
      </c>
      <c r="H6" s="106" t="s">
        <v>358</v>
      </c>
      <c r="I6" s="106" t="s">
        <v>42</v>
      </c>
      <c r="J6" s="25"/>
      <c r="K6" s="25"/>
      <c r="L6" s="25"/>
      <c r="M6" s="26"/>
    </row>
    <row r="7" spans="1:13" ht="15" customHeight="1">
      <c r="D7" s="107" t="s">
        <v>359</v>
      </c>
      <c r="E7" s="108">
        <f>MEDIAN('Peer Income'!N47:N51)</f>
        <v>15</v>
      </c>
      <c r="F7" s="107" t="s">
        <v>16</v>
      </c>
      <c r="G7" s="109">
        <v>4</v>
      </c>
      <c r="H7" s="107" t="s">
        <v>360</v>
      </c>
      <c r="I7" s="110" t="s">
        <v>148</v>
      </c>
      <c r="J7" s="25"/>
      <c r="K7" s="25"/>
      <c r="L7" s="25"/>
      <c r="M7" s="26"/>
    </row>
    <row r="8" spans="1:13" ht="15" customHeight="1">
      <c r="D8" s="107" t="s">
        <v>361</v>
      </c>
      <c r="E8" s="108">
        <f>MEDIAN('Peer Income'!N52:N54)</f>
        <v>7</v>
      </c>
      <c r="F8" s="107" t="s">
        <v>16</v>
      </c>
      <c r="G8" s="109">
        <v>4</v>
      </c>
      <c r="H8" s="107" t="s">
        <v>362</v>
      </c>
      <c r="I8" s="110" t="s">
        <v>174</v>
      </c>
      <c r="J8" s="25"/>
      <c r="K8" s="25"/>
      <c r="L8" s="25"/>
      <c r="M8" s="26"/>
    </row>
    <row r="9" spans="1:13" ht="15" customHeight="1">
      <c r="D9" s="107" t="s">
        <v>363</v>
      </c>
      <c r="E9" s="108">
        <f>'Peer Income'!N55</f>
        <v>6</v>
      </c>
      <c r="F9" s="107" t="s">
        <v>16</v>
      </c>
      <c r="G9" s="109">
        <v>4</v>
      </c>
      <c r="H9" s="107" t="s">
        <v>188</v>
      </c>
      <c r="I9" s="110" t="s">
        <v>191</v>
      </c>
      <c r="J9" s="25"/>
      <c r="K9" s="25"/>
      <c r="L9" s="25"/>
      <c r="M9" s="26"/>
    </row>
    <row r="10" spans="1:13" ht="15" customHeight="1">
      <c r="D10" s="107"/>
      <c r="E10" s="108"/>
      <c r="F10" s="107"/>
      <c r="G10" s="109"/>
      <c r="H10" s="107"/>
      <c r="I10" s="110"/>
      <c r="J10" s="25"/>
      <c r="K10" s="25"/>
      <c r="L10" s="25"/>
      <c r="M10" s="26"/>
    </row>
    <row r="11" spans="1:13" ht="15" customHeight="1">
      <c r="D11" s="107"/>
      <c r="E11" s="108"/>
      <c r="F11" s="107"/>
      <c r="G11" s="109"/>
      <c r="H11" s="107"/>
      <c r="I11" s="110"/>
      <c r="J11" s="25"/>
      <c r="K11" s="25"/>
      <c r="L11" s="25"/>
      <c r="M11" s="26"/>
    </row>
    <row r="12" spans="1:13" ht="15" customHeight="1">
      <c r="D12" s="26"/>
      <c r="E12" s="26"/>
      <c r="F12" s="25"/>
      <c r="G12" s="25"/>
      <c r="H12" s="26"/>
      <c r="I12" s="25"/>
      <c r="J12" s="25"/>
      <c r="K12" s="25"/>
      <c r="L12" s="25"/>
      <c r="M12" s="26"/>
    </row>
    <row r="13" spans="1:13" ht="15" customHeight="1">
      <c r="D13" s="26"/>
      <c r="E13" s="26"/>
      <c r="F13" s="25"/>
      <c r="G13" s="25"/>
      <c r="H13" s="26"/>
      <c r="I13" s="25"/>
      <c r="J13" s="25"/>
      <c r="K13" s="25"/>
      <c r="L13" s="25"/>
      <c r="M13" s="26"/>
    </row>
    <row r="14" spans="1:13" s="124" customFormat="1" ht="15" customHeight="1">
      <c r="A14" s="99"/>
      <c r="B14" s="99"/>
      <c r="C14" s="99"/>
      <c r="D14" s="123" t="s">
        <v>364</v>
      </c>
      <c r="E14" s="123"/>
      <c r="F14" s="123"/>
      <c r="G14" s="123"/>
      <c r="H14" s="123"/>
      <c r="I14" s="123"/>
      <c r="J14" s="123"/>
      <c r="K14" s="123"/>
      <c r="L14" s="123"/>
      <c r="M14" s="123"/>
    </row>
    <row r="15" spans="1:13" ht="15" customHeight="1">
      <c r="D15" s="106" t="s">
        <v>365</v>
      </c>
      <c r="E15" s="106" t="s">
        <v>366</v>
      </c>
      <c r="F15" s="106" t="s">
        <v>367</v>
      </c>
      <c r="G15" s="106" t="s">
        <v>368</v>
      </c>
      <c r="H15" s="106" t="s">
        <v>8</v>
      </c>
      <c r="I15" s="106" t="s">
        <v>369</v>
      </c>
      <c r="J15" s="106" t="s">
        <v>370</v>
      </c>
      <c r="K15" s="106" t="s">
        <v>371</v>
      </c>
      <c r="L15" s="106" t="s">
        <v>372</v>
      </c>
      <c r="M15" s="106" t="s">
        <v>373</v>
      </c>
    </row>
    <row r="16" spans="1:13" ht="15" customHeight="1">
      <c r="D16" s="107" t="s">
        <v>374</v>
      </c>
      <c r="E16" s="107" t="s">
        <v>375</v>
      </c>
      <c r="F16" s="72">
        <v>1</v>
      </c>
      <c r="G16" s="108">
        <f>E7</f>
        <v>15</v>
      </c>
      <c r="H16" s="107" t="s">
        <v>16</v>
      </c>
      <c r="I16" s="109">
        <v>4</v>
      </c>
      <c r="J16" s="32">
        <v>1</v>
      </c>
      <c r="K16" s="111">
        <f>F16*G16*I16*J16</f>
        <v>60</v>
      </c>
      <c r="L16" s="112">
        <f>IF($K$20=0,"",K16/$K$20)</f>
        <v>0.19480519480519481</v>
      </c>
      <c r="M16" s="107" t="str">
        <f>H7</f>
        <v>Median: Isegye Idol / SEVENTEEN / Hello Kitty / Fu Bao / Nintendo</v>
      </c>
    </row>
    <row r="17" spans="4:13" ht="15" customHeight="1">
      <c r="D17" s="107" t="s">
        <v>376</v>
      </c>
      <c r="E17" s="107" t="s">
        <v>377</v>
      </c>
      <c r="F17" s="72">
        <v>2</v>
      </c>
      <c r="G17" s="108">
        <f>E8</f>
        <v>7</v>
      </c>
      <c r="H17" s="107" t="s">
        <v>16</v>
      </c>
      <c r="I17" s="109">
        <v>4</v>
      </c>
      <c r="J17" s="32">
        <v>1</v>
      </c>
      <c r="K17" s="111">
        <f>F17*G17*I17*J17</f>
        <v>56</v>
      </c>
      <c r="L17" s="112">
        <f>IF($K$20=0,"",K17/$K$20)</f>
        <v>0.18181818181818182</v>
      </c>
      <c r="M17" s="107" t="str">
        <f>H8</f>
        <v>Median: Matin Kim Busan / Osaka / SATUR</v>
      </c>
    </row>
    <row r="18" spans="4:13" ht="15" customHeight="1">
      <c r="D18" s="107" t="s">
        <v>378</v>
      </c>
      <c r="E18" s="107" t="s">
        <v>379</v>
      </c>
      <c r="F18" s="72">
        <v>8</v>
      </c>
      <c r="G18" s="108">
        <f>E9</f>
        <v>6</v>
      </c>
      <c r="H18" s="107" t="s">
        <v>16</v>
      </c>
      <c r="I18" s="109">
        <v>4</v>
      </c>
      <c r="J18" s="32">
        <v>1</v>
      </c>
      <c r="K18" s="111">
        <f>F18*G18*I18*J18</f>
        <v>192</v>
      </c>
      <c r="L18" s="112">
        <f>IF($K$20=0,"",K18/$K$20)</f>
        <v>0.62337662337662336</v>
      </c>
      <c r="M18" s="107" t="str">
        <f>H9</f>
        <v>The Barnnet first Korea popup</v>
      </c>
    </row>
    <row r="19" spans="4:13" ht="15" customHeight="1">
      <c r="D19" s="26"/>
      <c r="E19" s="26"/>
      <c r="F19" s="27"/>
      <c r="G19" s="28"/>
      <c r="H19" s="26"/>
      <c r="I19" s="29"/>
      <c r="J19" s="30"/>
      <c r="K19" s="33"/>
      <c r="L19" s="31"/>
      <c r="M19" s="26"/>
    </row>
    <row r="20" spans="4:13" ht="15" customHeight="1">
      <c r="D20" s="113" t="s">
        <v>384</v>
      </c>
      <c r="E20" s="91"/>
      <c r="F20" s="92"/>
      <c r="G20" s="93"/>
      <c r="H20" s="91"/>
      <c r="I20" s="94"/>
      <c r="J20" s="95"/>
      <c r="K20" s="114">
        <f>SUM(K16:K18)</f>
        <v>308</v>
      </c>
      <c r="L20" s="115">
        <v>1</v>
      </c>
      <c r="M20" s="116" t="s">
        <v>381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89992980742820516"/>
  </sheetPr>
  <dimension ref="A1:M20"/>
  <sheetViews>
    <sheetView showGridLines="0" zoomScale="70" zoomScaleNormal="70" workbookViewId="0">
      <selection activeCell="D11" sqref="D11:XFD11"/>
    </sheetView>
  </sheetViews>
  <sheetFormatPr defaultColWidth="30.69921875" defaultRowHeight="15" customHeight="1"/>
  <cols>
    <col min="1" max="2" width="1.69921875" style="2" customWidth="1"/>
    <col min="3" max="3" width="2" customWidth="1"/>
    <col min="4" max="16384" width="30.69921875" style="99"/>
  </cols>
  <sheetData>
    <row r="1" spans="1:13" s="126" customFormat="1" ht="15" customHeight="1">
      <c r="A1" s="2"/>
      <c r="B1" s="2"/>
      <c r="C1" s="2"/>
      <c r="D1" s="123" t="s">
        <v>385</v>
      </c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5" customHeight="1">
      <c r="D2" s="104" t="s">
        <v>386</v>
      </c>
      <c r="E2" s="96"/>
      <c r="F2" s="96"/>
      <c r="G2" s="96"/>
      <c r="H2" s="96"/>
      <c r="I2" s="96"/>
      <c r="J2" s="96"/>
      <c r="K2" s="96"/>
      <c r="L2" s="96"/>
      <c r="M2" s="96"/>
    </row>
    <row r="3" spans="1:13" ht="15" customHeight="1">
      <c r="D3" s="105" t="s">
        <v>354</v>
      </c>
      <c r="E3" s="97"/>
      <c r="F3" s="97"/>
      <c r="G3" s="97"/>
      <c r="H3" s="97"/>
      <c r="I3" s="97"/>
      <c r="J3" s="97"/>
      <c r="K3" s="97"/>
      <c r="L3" s="97"/>
      <c r="M3" s="97"/>
    </row>
    <row r="5" spans="1:13" s="124" customFormat="1" ht="15" customHeight="1">
      <c r="A5" s="2"/>
      <c r="B5" s="2"/>
      <c r="C5" s="2"/>
      <c r="D5" s="123" t="s">
        <v>355</v>
      </c>
      <c r="E5" s="123"/>
      <c r="F5" s="123"/>
      <c r="G5" s="123"/>
      <c r="H5" s="123"/>
      <c r="I5" s="123"/>
      <c r="J5" s="123"/>
      <c r="K5" s="123"/>
      <c r="L5" s="123"/>
      <c r="M5" s="123"/>
    </row>
    <row r="6" spans="1:13" ht="15" customHeight="1">
      <c r="D6" s="106" t="s">
        <v>6</v>
      </c>
      <c r="E6" s="106" t="s">
        <v>356</v>
      </c>
      <c r="F6" s="106" t="s">
        <v>8</v>
      </c>
      <c r="G6" s="106" t="s">
        <v>357</v>
      </c>
      <c r="H6" s="106" t="s">
        <v>358</v>
      </c>
      <c r="I6" s="106" t="s">
        <v>42</v>
      </c>
      <c r="J6" s="25"/>
      <c r="K6" s="25"/>
      <c r="L6" s="25"/>
      <c r="M6" s="26"/>
    </row>
    <row r="7" spans="1:13" ht="15" customHeight="1">
      <c r="D7" s="107" t="s">
        <v>359</v>
      </c>
      <c r="E7" s="108">
        <f>MEDIAN('Peer Income'!N47:N51)</f>
        <v>15</v>
      </c>
      <c r="F7" s="107" t="s">
        <v>16</v>
      </c>
      <c r="G7" s="109">
        <v>4</v>
      </c>
      <c r="H7" s="107" t="s">
        <v>360</v>
      </c>
      <c r="I7" s="110" t="s">
        <v>148</v>
      </c>
      <c r="J7" s="25"/>
      <c r="K7" s="25"/>
      <c r="L7" s="25"/>
      <c r="M7" s="26"/>
    </row>
    <row r="8" spans="1:13" ht="15" customHeight="1">
      <c r="D8" s="107" t="s">
        <v>361</v>
      </c>
      <c r="E8" s="108">
        <f>MEDIAN('Peer Income'!N52:N54)</f>
        <v>7</v>
      </c>
      <c r="F8" s="107" t="s">
        <v>16</v>
      </c>
      <c r="G8" s="109">
        <v>4</v>
      </c>
      <c r="H8" s="107" t="s">
        <v>362</v>
      </c>
      <c r="I8" s="110" t="s">
        <v>174</v>
      </c>
      <c r="J8" s="25"/>
      <c r="K8" s="25"/>
      <c r="L8" s="25"/>
      <c r="M8" s="26"/>
    </row>
    <row r="9" spans="1:13" ht="15" customHeight="1">
      <c r="D9" s="107" t="s">
        <v>363</v>
      </c>
      <c r="E9" s="108">
        <f>'Peer Income'!N55</f>
        <v>6</v>
      </c>
      <c r="F9" s="107" t="s">
        <v>16</v>
      </c>
      <c r="G9" s="109">
        <v>4</v>
      </c>
      <c r="H9" s="107" t="s">
        <v>188</v>
      </c>
      <c r="I9" s="110" t="s">
        <v>191</v>
      </c>
      <c r="J9" s="25"/>
      <c r="K9" s="25"/>
      <c r="L9" s="25"/>
      <c r="M9" s="26"/>
    </row>
    <row r="10" spans="1:13" ht="15" customHeight="1">
      <c r="D10" s="107"/>
      <c r="E10" s="108"/>
      <c r="F10" s="107"/>
      <c r="G10" s="109"/>
      <c r="H10" s="107"/>
      <c r="I10" s="110"/>
      <c r="J10" s="25"/>
      <c r="K10" s="25"/>
      <c r="L10" s="25"/>
      <c r="M10" s="26"/>
    </row>
    <row r="11" spans="1:13" ht="15" customHeight="1">
      <c r="D11" s="107"/>
      <c r="E11" s="108"/>
      <c r="F11" s="107"/>
      <c r="G11" s="109"/>
      <c r="H11" s="107"/>
      <c r="I11" s="110"/>
      <c r="J11" s="25"/>
      <c r="K11" s="25"/>
      <c r="L11" s="25"/>
      <c r="M11" s="26"/>
    </row>
    <row r="12" spans="1:13" ht="15" customHeight="1">
      <c r="D12" s="26"/>
      <c r="E12" s="26"/>
      <c r="F12" s="25"/>
      <c r="G12" s="25"/>
      <c r="H12" s="26"/>
      <c r="I12" s="25"/>
      <c r="J12" s="25"/>
      <c r="K12" s="25"/>
      <c r="L12" s="25"/>
      <c r="M12" s="26"/>
    </row>
    <row r="13" spans="1:13" ht="15" customHeight="1">
      <c r="D13" s="26"/>
      <c r="E13" s="26"/>
      <c r="F13" s="25"/>
      <c r="G13" s="25"/>
      <c r="H13" s="26"/>
      <c r="I13" s="25"/>
      <c r="J13" s="25"/>
      <c r="K13" s="25"/>
      <c r="L13" s="25"/>
      <c r="M13" s="26"/>
    </row>
    <row r="14" spans="1:13" s="124" customFormat="1" ht="15" customHeight="1">
      <c r="A14" s="2"/>
      <c r="B14" s="2"/>
      <c r="C14" s="2"/>
      <c r="D14" s="123" t="s">
        <v>364</v>
      </c>
      <c r="E14" s="123"/>
      <c r="F14" s="123"/>
      <c r="G14" s="123"/>
      <c r="H14" s="123"/>
      <c r="I14" s="123"/>
      <c r="J14" s="123"/>
      <c r="K14" s="123"/>
      <c r="L14" s="123"/>
      <c r="M14" s="123"/>
    </row>
    <row r="15" spans="1:13" ht="15" customHeight="1">
      <c r="D15" s="106" t="s">
        <v>365</v>
      </c>
      <c r="E15" s="106" t="s">
        <v>366</v>
      </c>
      <c r="F15" s="106" t="s">
        <v>367</v>
      </c>
      <c r="G15" s="106" t="s">
        <v>368</v>
      </c>
      <c r="H15" s="106" t="s">
        <v>8</v>
      </c>
      <c r="I15" s="106" t="s">
        <v>369</v>
      </c>
      <c r="J15" s="106" t="s">
        <v>370</v>
      </c>
      <c r="K15" s="106" t="s">
        <v>371</v>
      </c>
      <c r="L15" s="106" t="s">
        <v>372</v>
      </c>
      <c r="M15" s="106" t="s">
        <v>373</v>
      </c>
    </row>
    <row r="16" spans="1:13" ht="15" customHeight="1">
      <c r="D16" s="107" t="s">
        <v>374</v>
      </c>
      <c r="E16" s="107" t="s">
        <v>375</v>
      </c>
      <c r="F16" s="72">
        <v>1</v>
      </c>
      <c r="G16" s="108">
        <f>E7</f>
        <v>15</v>
      </c>
      <c r="H16" s="107" t="s">
        <v>16</v>
      </c>
      <c r="I16" s="109">
        <v>4</v>
      </c>
      <c r="J16" s="32">
        <v>1</v>
      </c>
      <c r="K16" s="111">
        <f>F16*G16*I16*J16</f>
        <v>60</v>
      </c>
      <c r="L16" s="112">
        <f>IF($K$20=0,"",K16/$K$20)</f>
        <v>0.23076923076923078</v>
      </c>
      <c r="M16" s="107" t="str">
        <f>H7</f>
        <v>Median: Isegye Idol / SEVENTEEN / Hello Kitty / Fu Bao / Nintendo</v>
      </c>
    </row>
    <row r="17" spans="4:13" ht="15" customHeight="1">
      <c r="D17" s="107" t="s">
        <v>376</v>
      </c>
      <c r="E17" s="107" t="s">
        <v>377</v>
      </c>
      <c r="F17" s="72">
        <v>2</v>
      </c>
      <c r="G17" s="108">
        <f>E8</f>
        <v>7</v>
      </c>
      <c r="H17" s="107" t="s">
        <v>16</v>
      </c>
      <c r="I17" s="109">
        <v>4</v>
      </c>
      <c r="J17" s="32">
        <v>1</v>
      </c>
      <c r="K17" s="111">
        <f>F17*G17*I17*J17</f>
        <v>56</v>
      </c>
      <c r="L17" s="112">
        <f>IF($K$20=0,"",K17/$K$20)</f>
        <v>0.2153846153846154</v>
      </c>
      <c r="M17" s="107" t="str">
        <f>H8</f>
        <v>Median: Matin Kim Busan / Osaka / SATUR</v>
      </c>
    </row>
    <row r="18" spans="4:13" ht="15" customHeight="1">
      <c r="D18" s="107" t="s">
        <v>378</v>
      </c>
      <c r="E18" s="107" t="s">
        <v>379</v>
      </c>
      <c r="F18" s="72">
        <v>6</v>
      </c>
      <c r="G18" s="108">
        <f>E9</f>
        <v>6</v>
      </c>
      <c r="H18" s="107" t="s">
        <v>16</v>
      </c>
      <c r="I18" s="109">
        <v>4</v>
      </c>
      <c r="J18" s="32">
        <v>1</v>
      </c>
      <c r="K18" s="111">
        <f>F18*G18*I18*J18</f>
        <v>144</v>
      </c>
      <c r="L18" s="112">
        <f>IF($K$20=0,"",K18/$K$20)</f>
        <v>0.55384615384615388</v>
      </c>
      <c r="M18" s="107" t="str">
        <f>H9</f>
        <v>The Barnnet first Korea popup</v>
      </c>
    </row>
    <row r="19" spans="4:13" ht="15" customHeight="1">
      <c r="D19" s="26"/>
      <c r="E19" s="26"/>
      <c r="F19" s="27"/>
      <c r="G19" s="28"/>
      <c r="H19" s="26"/>
      <c r="I19" s="29"/>
      <c r="J19" s="30"/>
      <c r="K19" s="33"/>
      <c r="L19" s="31"/>
      <c r="M19" s="26"/>
    </row>
    <row r="20" spans="4:13" ht="15" customHeight="1">
      <c r="D20" s="113" t="s">
        <v>387</v>
      </c>
      <c r="E20" s="91"/>
      <c r="F20" s="92"/>
      <c r="G20" s="93"/>
      <c r="H20" s="91"/>
      <c r="I20" s="94"/>
      <c r="J20" s="95"/>
      <c r="K20" s="114">
        <f>SUM(K16:K18)</f>
        <v>260</v>
      </c>
      <c r="L20" s="115">
        <v>1</v>
      </c>
      <c r="M20" s="116" t="s">
        <v>381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89992980742820516"/>
  </sheetPr>
  <dimension ref="A1:M23"/>
  <sheetViews>
    <sheetView showGridLines="0" zoomScale="70" zoomScaleNormal="70" workbookViewId="0">
      <selection activeCell="D13" sqref="D13:XFD13"/>
    </sheetView>
  </sheetViews>
  <sheetFormatPr defaultColWidth="30.69921875" defaultRowHeight="15" customHeight="1"/>
  <cols>
    <col min="1" max="2" width="2" style="2" customWidth="1"/>
    <col min="3" max="3" width="2" customWidth="1"/>
    <col min="4" max="16384" width="30.69921875" style="99"/>
  </cols>
  <sheetData>
    <row r="1" spans="1:13" s="124" customFormat="1" ht="15" customHeight="1">
      <c r="A1" s="2"/>
      <c r="B1" s="2"/>
      <c r="C1" s="2"/>
      <c r="D1" s="123" t="s">
        <v>388</v>
      </c>
      <c r="E1" s="123"/>
      <c r="F1" s="123"/>
      <c r="G1" s="123"/>
      <c r="H1" s="123"/>
      <c r="I1" s="123"/>
      <c r="J1" s="123"/>
      <c r="K1" s="123"/>
      <c r="L1" s="123"/>
      <c r="M1" s="123"/>
    </row>
    <row r="2" spans="1:13" ht="15" customHeight="1">
      <c r="D2" s="104" t="s">
        <v>389</v>
      </c>
      <c r="E2" s="96"/>
      <c r="F2" s="96"/>
      <c r="G2" s="96"/>
      <c r="H2" s="96"/>
      <c r="I2" s="96"/>
      <c r="J2" s="96"/>
      <c r="K2" s="96"/>
      <c r="L2" s="96"/>
      <c r="M2" s="96"/>
    </row>
    <row r="3" spans="1:13" ht="15" customHeight="1">
      <c r="D3" s="105" t="s">
        <v>354</v>
      </c>
      <c r="E3" s="97"/>
      <c r="F3" s="97"/>
      <c r="G3" s="97"/>
      <c r="H3" s="97"/>
      <c r="I3" s="97"/>
      <c r="J3" s="97"/>
      <c r="K3" s="97"/>
      <c r="L3" s="97"/>
      <c r="M3" s="97"/>
    </row>
    <row r="5" spans="1:13" s="124" customFormat="1" ht="15" customHeight="1">
      <c r="A5" s="2"/>
      <c r="B5" s="2"/>
      <c r="C5" s="2"/>
      <c r="D5" s="123" t="s">
        <v>355</v>
      </c>
      <c r="E5" s="123"/>
      <c r="F5" s="123"/>
      <c r="G5" s="123"/>
      <c r="H5" s="123"/>
      <c r="I5" s="123"/>
      <c r="J5" s="123"/>
      <c r="K5" s="123"/>
      <c r="L5" s="123"/>
      <c r="M5" s="123"/>
    </row>
    <row r="6" spans="1:13" ht="15" customHeight="1">
      <c r="D6" s="106" t="s">
        <v>6</v>
      </c>
      <c r="E6" s="106" t="s">
        <v>356</v>
      </c>
      <c r="F6" s="106" t="s">
        <v>8</v>
      </c>
      <c r="G6" s="106" t="s">
        <v>357</v>
      </c>
      <c r="H6" s="106" t="s">
        <v>358</v>
      </c>
      <c r="I6" s="106" t="s">
        <v>42</v>
      </c>
      <c r="J6" s="25"/>
      <c r="K6" s="25"/>
      <c r="L6" s="25"/>
      <c r="M6" s="26"/>
    </row>
    <row r="7" spans="1:13" ht="15" customHeight="1">
      <c r="D7" s="107" t="s">
        <v>359</v>
      </c>
      <c r="E7" s="108">
        <f>MEDIAN('Peer Income'!N47:N51)</f>
        <v>15</v>
      </c>
      <c r="F7" s="107" t="s">
        <v>16</v>
      </c>
      <c r="G7" s="109">
        <v>4</v>
      </c>
      <c r="H7" s="107" t="s">
        <v>360</v>
      </c>
      <c r="I7" s="110" t="s">
        <v>148</v>
      </c>
      <c r="J7" s="25"/>
      <c r="K7" s="25"/>
      <c r="L7" s="25"/>
      <c r="M7" s="26"/>
    </row>
    <row r="8" spans="1:13" ht="15" customHeight="1">
      <c r="D8" s="107" t="s">
        <v>361</v>
      </c>
      <c r="E8" s="108">
        <f>MEDIAN('Peer Income'!N52:N54)</f>
        <v>7</v>
      </c>
      <c r="F8" s="107" t="s">
        <v>16</v>
      </c>
      <c r="G8" s="109">
        <v>4</v>
      </c>
      <c r="H8" s="107" t="s">
        <v>362</v>
      </c>
      <c r="I8" s="110" t="s">
        <v>174</v>
      </c>
      <c r="J8" s="25"/>
      <c r="K8" s="25"/>
      <c r="L8" s="25"/>
      <c r="M8" s="26"/>
    </row>
    <row r="9" spans="1:13" ht="15" customHeight="1">
      <c r="D9" s="107" t="s">
        <v>363</v>
      </c>
      <c r="E9" s="108">
        <f>'Peer Income'!N55</f>
        <v>6</v>
      </c>
      <c r="F9" s="107" t="s">
        <v>16</v>
      </c>
      <c r="G9" s="109">
        <v>4</v>
      </c>
      <c r="H9" s="107" t="s">
        <v>188</v>
      </c>
      <c r="I9" s="110" t="s">
        <v>191</v>
      </c>
      <c r="J9" s="25"/>
      <c r="K9" s="25"/>
      <c r="L9" s="25"/>
      <c r="M9" s="26"/>
    </row>
    <row r="10" spans="1:13" ht="15" customHeight="1">
      <c r="D10" s="107" t="s">
        <v>390</v>
      </c>
      <c r="E10" s="108">
        <f>'Peer Income'!M59</f>
        <v>47.79</v>
      </c>
      <c r="F10" s="107" t="s">
        <v>391</v>
      </c>
      <c r="G10" s="109">
        <v>0.25</v>
      </c>
      <c r="H10" s="107" t="s">
        <v>392</v>
      </c>
      <c r="I10" s="110" t="s">
        <v>207</v>
      </c>
      <c r="J10" s="25"/>
      <c r="K10" s="25"/>
      <c r="L10" s="25"/>
      <c r="M10" s="26"/>
    </row>
    <row r="11" spans="1:13" ht="15" customHeight="1">
      <c r="D11" s="107" t="s">
        <v>393</v>
      </c>
      <c r="E11" s="108">
        <f>MEDIAN('Peer Income'!M24,'Peer Income'!M28,'Peer Income'!M33)</f>
        <v>3.4535999999999998</v>
      </c>
      <c r="F11" s="107" t="s">
        <v>394</v>
      </c>
      <c r="G11" s="109">
        <v>1</v>
      </c>
      <c r="H11" s="107" t="s">
        <v>395</v>
      </c>
      <c r="I11" s="110" t="s">
        <v>59</v>
      </c>
      <c r="J11" s="25"/>
      <c r="K11" s="25"/>
      <c r="L11" s="25"/>
      <c r="M11" s="26"/>
    </row>
    <row r="12" spans="1:13" ht="15" customHeight="1">
      <c r="D12" s="26"/>
      <c r="E12" s="26"/>
      <c r="F12" s="25"/>
      <c r="G12" s="25"/>
      <c r="H12" s="26"/>
      <c r="I12" s="25"/>
      <c r="J12" s="25"/>
      <c r="K12" s="25"/>
      <c r="L12" s="25"/>
      <c r="M12" s="26"/>
    </row>
    <row r="13" spans="1:13" ht="15" customHeight="1">
      <c r="D13" s="26"/>
      <c r="E13" s="26"/>
      <c r="F13" s="25"/>
      <c r="G13" s="25"/>
      <c r="H13" s="26"/>
      <c r="I13" s="25"/>
      <c r="J13" s="25"/>
      <c r="K13" s="25"/>
      <c r="L13" s="25"/>
      <c r="M13" s="26"/>
    </row>
    <row r="14" spans="1:13" ht="15" customHeight="1">
      <c r="D14" s="26"/>
      <c r="E14" s="26"/>
      <c r="F14" s="25"/>
      <c r="G14" s="25"/>
      <c r="H14" s="26"/>
      <c r="I14" s="25"/>
      <c r="J14" s="25"/>
      <c r="K14" s="25"/>
      <c r="L14" s="25"/>
      <c r="M14" s="26"/>
    </row>
    <row r="15" spans="1:13" s="124" customFormat="1" ht="15" customHeight="1">
      <c r="A15" s="2"/>
      <c r="B15" s="2"/>
      <c r="C15" s="2"/>
      <c r="D15" s="123" t="s">
        <v>364</v>
      </c>
      <c r="E15" s="123"/>
      <c r="F15" s="123"/>
      <c r="G15" s="123"/>
      <c r="H15" s="123"/>
      <c r="I15" s="123"/>
      <c r="J15" s="123"/>
      <c r="K15" s="123"/>
      <c r="L15" s="123"/>
      <c r="M15" s="123"/>
    </row>
    <row r="16" spans="1:13" ht="15" customHeight="1">
      <c r="D16" s="106" t="s">
        <v>365</v>
      </c>
      <c r="E16" s="106" t="s">
        <v>366</v>
      </c>
      <c r="F16" s="106" t="s">
        <v>367</v>
      </c>
      <c r="G16" s="106" t="s">
        <v>368</v>
      </c>
      <c r="H16" s="106" t="s">
        <v>8</v>
      </c>
      <c r="I16" s="106" t="s">
        <v>369</v>
      </c>
      <c r="J16" s="106" t="s">
        <v>370</v>
      </c>
      <c r="K16" s="106" t="s">
        <v>371</v>
      </c>
      <c r="L16" s="106" t="s">
        <v>372</v>
      </c>
      <c r="M16" s="106" t="s">
        <v>373</v>
      </c>
    </row>
    <row r="17" spans="4:13" ht="15" customHeight="1">
      <c r="D17" s="107" t="s">
        <v>374</v>
      </c>
      <c r="E17" s="107" t="s">
        <v>375</v>
      </c>
      <c r="F17" s="72">
        <v>2</v>
      </c>
      <c r="G17" s="108">
        <f>E7</f>
        <v>15</v>
      </c>
      <c r="H17" s="107" t="s">
        <v>16</v>
      </c>
      <c r="I17" s="109">
        <v>4</v>
      </c>
      <c r="J17" s="32">
        <v>1</v>
      </c>
      <c r="K17" s="111">
        <f>F17*G17*I17*J17</f>
        <v>120</v>
      </c>
      <c r="L17" s="112">
        <f>IF($K$23=0,"",K17/$K$23)</f>
        <v>0.64033775682213179</v>
      </c>
      <c r="M17" s="107" t="str">
        <f>H7</f>
        <v>Median: Isegye Idol / SEVENTEEN / Hello Kitty / Fu Bao / Nintendo</v>
      </c>
    </row>
    <row r="18" spans="4:13" ht="15" customHeight="1">
      <c r="D18" s="107" t="s">
        <v>376</v>
      </c>
      <c r="E18" s="107" t="s">
        <v>377</v>
      </c>
      <c r="F18" s="72">
        <v>1</v>
      </c>
      <c r="G18" s="108">
        <f>E8</f>
        <v>7</v>
      </c>
      <c r="H18" s="107" t="s">
        <v>16</v>
      </c>
      <c r="I18" s="109">
        <v>4</v>
      </c>
      <c r="J18" s="32">
        <v>1</v>
      </c>
      <c r="K18" s="111">
        <f>F18*G18*I18*J18</f>
        <v>28</v>
      </c>
      <c r="L18" s="112">
        <f>IF($K$23=0,"",K18/$K$23)</f>
        <v>0.14941214325849742</v>
      </c>
      <c r="M18" s="107" t="str">
        <f>H8</f>
        <v>Median: Matin Kim Busan / Osaka / SATUR</v>
      </c>
    </row>
    <row r="19" spans="4:13" ht="15" customHeight="1">
      <c r="D19" s="107" t="s">
        <v>378</v>
      </c>
      <c r="E19" s="107" t="s">
        <v>379</v>
      </c>
      <c r="F19" s="72">
        <v>1</v>
      </c>
      <c r="G19" s="108">
        <f>E9</f>
        <v>6</v>
      </c>
      <c r="H19" s="107" t="s">
        <v>16</v>
      </c>
      <c r="I19" s="109">
        <v>4</v>
      </c>
      <c r="J19" s="32">
        <v>1</v>
      </c>
      <c r="K19" s="111">
        <f>F19*G19*I19*J19</f>
        <v>24</v>
      </c>
      <c r="L19" s="112">
        <f>IF($K$23=0,"",K19/$K$23)</f>
        <v>0.12806755136442638</v>
      </c>
      <c r="M19" s="107" t="str">
        <f>H9</f>
        <v>The Barnnet first Korea popup</v>
      </c>
    </row>
    <row r="20" spans="4:13" ht="15" customHeight="1">
      <c r="D20" s="107" t="s">
        <v>396</v>
      </c>
      <c r="E20" s="107" t="s">
        <v>397</v>
      </c>
      <c r="F20" s="72">
        <v>1</v>
      </c>
      <c r="G20" s="108">
        <f>E10</f>
        <v>47.79</v>
      </c>
      <c r="H20" s="107" t="s">
        <v>391</v>
      </c>
      <c r="I20" s="109">
        <v>1</v>
      </c>
      <c r="J20" s="32">
        <v>0.25</v>
      </c>
      <c r="K20" s="111">
        <f>F20*G20*I20*J20</f>
        <v>11.9475</v>
      </c>
      <c r="L20" s="112">
        <f>IF($K$23=0,"",K20/$K$23)</f>
        <v>6.3753627913603506E-2</v>
      </c>
      <c r="M20" s="107" t="s">
        <v>398</v>
      </c>
    </row>
    <row r="21" spans="4:13" ht="15" customHeight="1">
      <c r="D21" s="107" t="s">
        <v>51</v>
      </c>
      <c r="E21" s="107" t="s">
        <v>399</v>
      </c>
      <c r="F21" s="72">
        <v>1</v>
      </c>
      <c r="G21" s="108">
        <f>E11</f>
        <v>3.4535999999999998</v>
      </c>
      <c r="H21" s="107" t="s">
        <v>394</v>
      </c>
      <c r="I21" s="109">
        <v>1</v>
      </c>
      <c r="J21" s="32">
        <v>1</v>
      </c>
      <c r="K21" s="111">
        <f>F21*G21*I21*J21</f>
        <v>3.4535999999999998</v>
      </c>
      <c r="L21" s="112">
        <f>IF($K$23=0,"",K21/$K$23)</f>
        <v>1.8428920641340954E-2</v>
      </c>
      <c r="M21" s="107" t="s">
        <v>400</v>
      </c>
    </row>
    <row r="22" spans="4:13" ht="15" customHeight="1">
      <c r="D22" s="26"/>
      <c r="E22" s="26"/>
      <c r="F22" s="27"/>
      <c r="G22" s="28"/>
      <c r="H22" s="26"/>
      <c r="I22" s="29"/>
      <c r="J22" s="30"/>
      <c r="K22" s="33"/>
      <c r="L22" s="31"/>
      <c r="M22" s="26"/>
    </row>
    <row r="23" spans="4:13" ht="15" customHeight="1">
      <c r="D23" s="113" t="s">
        <v>401</v>
      </c>
      <c r="E23" s="91"/>
      <c r="F23" s="92"/>
      <c r="G23" s="93"/>
      <c r="H23" s="91"/>
      <c r="I23" s="94"/>
      <c r="J23" s="95"/>
      <c r="K23" s="114">
        <f>SUM(K17:K21)</f>
        <v>187.40109999999999</v>
      </c>
      <c r="L23" s="115">
        <v>1</v>
      </c>
      <c r="M23" s="116" t="s">
        <v>381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89999084444715716"/>
  </sheetPr>
  <dimension ref="A1:M20"/>
  <sheetViews>
    <sheetView showGridLines="0" zoomScale="70" zoomScaleNormal="70" workbookViewId="0">
      <selection activeCell="D12" sqref="D12:XFD12"/>
    </sheetView>
  </sheetViews>
  <sheetFormatPr defaultColWidth="30.69921875" defaultRowHeight="15" customHeight="1"/>
  <cols>
    <col min="1" max="2" width="1.69921875" style="2" customWidth="1"/>
    <col min="3" max="3" width="2" customWidth="1"/>
    <col min="4" max="16384" width="30.69921875" style="99"/>
  </cols>
  <sheetData>
    <row r="1" spans="1:13" s="124" customFormat="1" ht="15" customHeight="1">
      <c r="A1" s="2"/>
      <c r="B1" s="2"/>
      <c r="C1" s="2"/>
      <c r="D1" s="123" t="s">
        <v>402</v>
      </c>
      <c r="E1" s="123"/>
      <c r="F1" s="123"/>
      <c r="G1" s="123"/>
      <c r="H1" s="123"/>
      <c r="I1" s="123"/>
      <c r="J1" s="123"/>
      <c r="K1" s="123"/>
      <c r="L1" s="123"/>
      <c r="M1" s="123"/>
    </row>
    <row r="2" spans="1:13" ht="15" customHeight="1">
      <c r="D2" s="104" t="s">
        <v>403</v>
      </c>
      <c r="E2" s="101"/>
      <c r="F2" s="101"/>
      <c r="G2" s="101"/>
      <c r="H2" s="101"/>
      <c r="I2" s="101"/>
      <c r="J2" s="101"/>
      <c r="K2" s="101"/>
      <c r="L2" s="101"/>
      <c r="M2" s="101"/>
    </row>
    <row r="3" spans="1:13" ht="15" customHeight="1">
      <c r="D3" s="105" t="s">
        <v>404</v>
      </c>
      <c r="E3" s="97"/>
      <c r="F3" s="97"/>
      <c r="G3" s="97"/>
      <c r="H3" s="97"/>
      <c r="I3" s="97"/>
      <c r="J3" s="97"/>
      <c r="K3" s="102"/>
      <c r="L3" s="102"/>
      <c r="M3" s="102"/>
    </row>
    <row r="5" spans="1:13" s="124" customFormat="1" ht="15" customHeight="1">
      <c r="A5" s="2"/>
      <c r="B5" s="2"/>
      <c r="C5" s="2"/>
      <c r="D5" s="123" t="s">
        <v>405</v>
      </c>
      <c r="E5" s="123"/>
      <c r="F5" s="123"/>
      <c r="G5" s="123"/>
      <c r="H5" s="123"/>
      <c r="I5" s="123"/>
      <c r="J5" s="123"/>
      <c r="K5" s="123"/>
      <c r="L5" s="123"/>
      <c r="M5" s="123"/>
    </row>
    <row r="6" spans="1:13" ht="15" customHeight="1">
      <c r="D6" s="106" t="s">
        <v>6</v>
      </c>
      <c r="E6" s="106" t="s">
        <v>356</v>
      </c>
      <c r="F6" s="106" t="s">
        <v>8</v>
      </c>
      <c r="G6" s="106" t="s">
        <v>357</v>
      </c>
      <c r="H6" s="106" t="s">
        <v>358</v>
      </c>
      <c r="I6" s="106" t="s">
        <v>42</v>
      </c>
    </row>
    <row r="7" spans="1:13" ht="15" customHeight="1">
      <c r="D7" s="107" t="s">
        <v>246</v>
      </c>
      <c r="E7" s="108">
        <f>'Fixed Store Peer Calc'!R16</f>
        <v>15.235701418739698</v>
      </c>
      <c r="F7" s="107" t="s">
        <v>394</v>
      </c>
      <c r="G7" s="109">
        <v>1</v>
      </c>
      <c r="H7" s="107" t="s">
        <v>406</v>
      </c>
      <c r="I7" s="110" t="s">
        <v>407</v>
      </c>
    </row>
    <row r="8" spans="1:13" ht="15" customHeight="1">
      <c r="D8" s="107" t="s">
        <v>254</v>
      </c>
      <c r="E8" s="108">
        <f>'Fixed Store Peer Calc'!R17</f>
        <v>9.2996600896682615</v>
      </c>
      <c r="F8" s="107" t="s">
        <v>394</v>
      </c>
      <c r="G8" s="109">
        <v>1</v>
      </c>
      <c r="H8" s="107" t="s">
        <v>408</v>
      </c>
      <c r="I8" s="110" t="s">
        <v>407</v>
      </c>
    </row>
    <row r="9" spans="1:13" ht="15" customHeight="1">
      <c r="D9" s="107" t="s">
        <v>259</v>
      </c>
      <c r="E9" s="108">
        <f>'Fixed Store Peer Calc'!R18</f>
        <v>5.1731712787019042</v>
      </c>
      <c r="F9" s="107" t="s">
        <v>394</v>
      </c>
      <c r="G9" s="109">
        <v>1</v>
      </c>
      <c r="H9" s="107" t="s">
        <v>409</v>
      </c>
      <c r="I9" s="110" t="s">
        <v>410</v>
      </c>
    </row>
    <row r="10" spans="1:13" ht="15" customHeight="1">
      <c r="D10" s="107" t="s">
        <v>306</v>
      </c>
      <c r="E10" s="108">
        <f>'Fixed Store Peer Calc'!G29</f>
        <v>9.2996600896682615</v>
      </c>
      <c r="F10" s="107" t="s">
        <v>394</v>
      </c>
      <c r="G10" s="109">
        <v>1</v>
      </c>
      <c r="H10" s="107" t="s">
        <v>411</v>
      </c>
      <c r="I10" s="110" t="s">
        <v>412</v>
      </c>
    </row>
    <row r="11" spans="1:13" ht="15" customHeight="1">
      <c r="D11" s="107"/>
      <c r="E11" s="108"/>
      <c r="F11" s="107"/>
      <c r="G11" s="109"/>
      <c r="H11" s="107"/>
      <c r="I11" s="110"/>
    </row>
    <row r="14" spans="1:13" s="124" customFormat="1" ht="15" customHeight="1">
      <c r="A14" s="2"/>
      <c r="B14" s="2"/>
      <c r="C14" s="2"/>
      <c r="D14" s="123" t="s">
        <v>364</v>
      </c>
      <c r="E14" s="123"/>
      <c r="F14" s="123"/>
      <c r="G14" s="123"/>
      <c r="H14" s="123"/>
      <c r="I14" s="123"/>
      <c r="J14" s="123"/>
      <c r="K14" s="123"/>
      <c r="L14" s="123"/>
      <c r="M14" s="123"/>
    </row>
    <row r="15" spans="1:13" ht="15" customHeight="1">
      <c r="D15" s="106" t="s">
        <v>365</v>
      </c>
      <c r="E15" s="106" t="s">
        <v>366</v>
      </c>
      <c r="F15" s="106" t="s">
        <v>367</v>
      </c>
      <c r="G15" s="106" t="s">
        <v>368</v>
      </c>
      <c r="H15" s="106" t="s">
        <v>8</v>
      </c>
      <c r="I15" s="106" t="s">
        <v>357</v>
      </c>
      <c r="J15" s="106" t="s">
        <v>370</v>
      </c>
      <c r="K15" s="106" t="s">
        <v>371</v>
      </c>
      <c r="L15" s="106" t="s">
        <v>372</v>
      </c>
      <c r="M15" s="106" t="s">
        <v>373</v>
      </c>
    </row>
    <row r="16" spans="1:13" ht="15" customHeight="1">
      <c r="D16" s="107" t="s">
        <v>305</v>
      </c>
      <c r="E16" s="107" t="s">
        <v>413</v>
      </c>
      <c r="F16" s="72">
        <v>8</v>
      </c>
      <c r="G16" s="108">
        <f>'Fixed Store Peer Calc'!G29</f>
        <v>9.2996600896682615</v>
      </c>
      <c r="H16" s="117" t="s">
        <v>394</v>
      </c>
      <c r="I16" s="109">
        <v>1</v>
      </c>
      <c r="J16" s="32">
        <v>1</v>
      </c>
      <c r="K16" s="111">
        <f>F16*G16*I16*J16</f>
        <v>74.397280717346092</v>
      </c>
      <c r="L16" s="112">
        <f>K16/$K$20</f>
        <v>1</v>
      </c>
      <c r="M16" s="107" t="s">
        <v>414</v>
      </c>
    </row>
    <row r="17" spans="4:13" ht="15" customHeight="1">
      <c r="D17" s="107"/>
      <c r="E17" s="107"/>
      <c r="F17" s="72"/>
      <c r="G17" s="108"/>
      <c r="H17" s="107"/>
      <c r="I17" s="109"/>
      <c r="J17" s="32"/>
      <c r="K17" s="111"/>
      <c r="L17" s="112"/>
      <c r="M17" s="107"/>
    </row>
    <row r="18" spans="4:13" ht="15" customHeight="1">
      <c r="D18" s="107"/>
      <c r="E18" s="107"/>
      <c r="F18" s="72"/>
      <c r="G18" s="108"/>
      <c r="H18" s="107"/>
      <c r="I18" s="109"/>
      <c r="J18" s="32"/>
      <c r="K18" s="111"/>
      <c r="L18" s="112"/>
      <c r="M18" s="107"/>
    </row>
    <row r="19" spans="4:13" ht="15" customHeight="1">
      <c r="L19" s="103"/>
    </row>
    <row r="20" spans="4:13" ht="15" customHeight="1">
      <c r="D20" s="118" t="s">
        <v>415</v>
      </c>
      <c r="E20" s="100"/>
      <c r="F20" s="100"/>
      <c r="G20" s="100"/>
      <c r="H20" s="100"/>
      <c r="I20" s="100"/>
      <c r="J20" s="100"/>
      <c r="K20" s="119">
        <f>SUM(K16:K18)</f>
        <v>74.397280717346092</v>
      </c>
      <c r="L20" s="120">
        <f>1</f>
        <v>1</v>
      </c>
      <c r="M20" s="121" t="s">
        <v>416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89999084444715716"/>
  </sheetPr>
  <dimension ref="A1:M20"/>
  <sheetViews>
    <sheetView showGridLines="0" workbookViewId="0">
      <selection activeCell="E31" sqref="E31"/>
    </sheetView>
  </sheetViews>
  <sheetFormatPr defaultColWidth="30.69921875" defaultRowHeight="15" customHeight="1"/>
  <cols>
    <col min="1" max="3" width="1.69921875" customWidth="1"/>
    <col min="4" max="16384" width="30.69921875" style="99"/>
  </cols>
  <sheetData>
    <row r="1" spans="1:13" s="124" customFormat="1" ht="15" customHeight="1">
      <c r="A1"/>
      <c r="B1"/>
      <c r="C1"/>
      <c r="D1" s="123" t="s">
        <v>417</v>
      </c>
      <c r="E1" s="123"/>
      <c r="F1" s="123"/>
      <c r="G1" s="123"/>
      <c r="H1" s="123"/>
      <c r="I1" s="123"/>
      <c r="J1" s="123"/>
      <c r="K1" s="123"/>
      <c r="L1" s="123"/>
      <c r="M1" s="123"/>
    </row>
    <row r="2" spans="1:13" ht="15" customHeight="1">
      <c r="D2" s="104" t="s">
        <v>418</v>
      </c>
      <c r="E2" s="101"/>
      <c r="F2" s="101"/>
      <c r="G2" s="101"/>
      <c r="H2" s="101"/>
      <c r="I2" s="101"/>
      <c r="J2" s="101"/>
      <c r="K2" s="101"/>
      <c r="L2" s="101"/>
      <c r="M2" s="101"/>
    </row>
    <row r="3" spans="1:13" ht="15" customHeight="1">
      <c r="D3" s="105" t="s">
        <v>419</v>
      </c>
      <c r="E3" s="97"/>
      <c r="F3" s="97"/>
      <c r="G3" s="97"/>
      <c r="H3" s="97"/>
      <c r="I3" s="97"/>
      <c r="J3" s="97"/>
      <c r="K3" s="122"/>
      <c r="L3" s="122"/>
      <c r="M3" s="122"/>
    </row>
    <row r="5" spans="1:13" s="124" customFormat="1" ht="15" customHeight="1">
      <c r="A5"/>
      <c r="B5"/>
      <c r="C5"/>
      <c r="D5" s="123" t="s">
        <v>405</v>
      </c>
      <c r="E5" s="123"/>
      <c r="F5" s="123"/>
      <c r="G5" s="123"/>
      <c r="H5" s="123"/>
      <c r="I5" s="123"/>
      <c r="J5" s="123"/>
      <c r="K5" s="123"/>
      <c r="L5" s="123"/>
      <c r="M5" s="123"/>
    </row>
    <row r="6" spans="1:13" ht="15" customHeight="1">
      <c r="D6" s="106" t="s">
        <v>6</v>
      </c>
      <c r="E6" s="106" t="s">
        <v>356</v>
      </c>
      <c r="F6" s="106" t="s">
        <v>8</v>
      </c>
      <c r="G6" s="106" t="s">
        <v>357</v>
      </c>
      <c r="H6" s="106" t="s">
        <v>358</v>
      </c>
      <c r="I6" s="106" t="s">
        <v>42</v>
      </c>
    </row>
    <row r="7" spans="1:13" ht="15" customHeight="1">
      <c r="D7" s="107" t="s">
        <v>267</v>
      </c>
      <c r="E7" s="108">
        <f>'Fixed Store Peer Calc'!R19</f>
        <v>20.338268138528719</v>
      </c>
      <c r="F7" s="107" t="s">
        <v>394</v>
      </c>
      <c r="G7" s="109">
        <v>1</v>
      </c>
      <c r="H7" s="107" t="s">
        <v>420</v>
      </c>
      <c r="I7" s="110" t="s">
        <v>421</v>
      </c>
    </row>
    <row r="8" spans="1:13" ht="15" customHeight="1">
      <c r="D8" s="107" t="s">
        <v>273</v>
      </c>
      <c r="E8" s="108">
        <f>'Fixed Store Peer Calc'!R20</f>
        <v>13.914153578959921</v>
      </c>
      <c r="F8" s="107" t="s">
        <v>394</v>
      </c>
      <c r="G8" s="109">
        <v>1</v>
      </c>
      <c r="H8" s="107" t="s">
        <v>422</v>
      </c>
      <c r="I8" s="110" t="s">
        <v>423</v>
      </c>
    </row>
    <row r="9" spans="1:13" ht="15" customHeight="1">
      <c r="D9" s="107" t="s">
        <v>315</v>
      </c>
      <c r="E9" s="108">
        <f>'Fixed Store Peer Calc'!G30</f>
        <v>17.126210858744319</v>
      </c>
      <c r="F9" s="107" t="s">
        <v>394</v>
      </c>
      <c r="G9" s="109">
        <v>1</v>
      </c>
      <c r="H9" s="107" t="s">
        <v>424</v>
      </c>
      <c r="I9" s="110" t="s">
        <v>412</v>
      </c>
    </row>
    <row r="10" spans="1:13" ht="15" customHeight="1">
      <c r="D10" s="107"/>
      <c r="E10" s="108"/>
      <c r="F10" s="107"/>
      <c r="G10" s="109"/>
      <c r="H10" s="107"/>
      <c r="I10" s="110"/>
    </row>
    <row r="11" spans="1:13" ht="15" customHeight="1">
      <c r="D11" s="107"/>
      <c r="E11" s="108"/>
      <c r="F11" s="107"/>
      <c r="G11" s="109"/>
      <c r="H11" s="107"/>
      <c r="I11" s="110"/>
    </row>
    <row r="14" spans="1:13" s="124" customFormat="1" ht="15" customHeight="1">
      <c r="A14"/>
      <c r="B14"/>
      <c r="C14"/>
      <c r="D14" s="123" t="s">
        <v>364</v>
      </c>
      <c r="E14" s="123"/>
      <c r="F14" s="123"/>
      <c r="G14" s="123"/>
      <c r="H14" s="123"/>
      <c r="I14" s="123"/>
      <c r="J14" s="123"/>
      <c r="K14" s="123"/>
      <c r="L14" s="123"/>
      <c r="M14" s="123"/>
    </row>
    <row r="15" spans="1:13" ht="15" customHeight="1">
      <c r="D15" s="106" t="s">
        <v>365</v>
      </c>
      <c r="E15" s="106" t="s">
        <v>366</v>
      </c>
      <c r="F15" s="106" t="s">
        <v>367</v>
      </c>
      <c r="G15" s="106" t="s">
        <v>368</v>
      </c>
      <c r="H15" s="106" t="s">
        <v>8</v>
      </c>
      <c r="I15" s="106" t="s">
        <v>357</v>
      </c>
      <c r="J15" s="106" t="s">
        <v>370</v>
      </c>
      <c r="K15" s="106" t="s">
        <v>371</v>
      </c>
      <c r="L15" s="106" t="s">
        <v>372</v>
      </c>
      <c r="M15" s="106" t="s">
        <v>373</v>
      </c>
    </row>
    <row r="16" spans="1:13" ht="15" customHeight="1">
      <c r="D16" s="107" t="s">
        <v>425</v>
      </c>
      <c r="E16" s="107" t="s">
        <v>426</v>
      </c>
      <c r="F16" s="72">
        <v>5</v>
      </c>
      <c r="G16" s="108">
        <f>'Fixed Store Peer Calc'!G30</f>
        <v>17.126210858744319</v>
      </c>
      <c r="H16" s="117" t="s">
        <v>394</v>
      </c>
      <c r="I16" s="109">
        <v>1</v>
      </c>
      <c r="J16" s="32">
        <v>1</v>
      </c>
      <c r="K16" s="111">
        <f>F16*G16*I16*J16</f>
        <v>85.63105429372159</v>
      </c>
      <c r="L16" s="112">
        <f>K16/$K$20</f>
        <v>1</v>
      </c>
      <c r="M16" s="107" t="s">
        <v>427</v>
      </c>
    </row>
    <row r="17" spans="4:13" ht="15" customHeight="1">
      <c r="D17" s="107"/>
      <c r="E17" s="107"/>
      <c r="F17" s="72"/>
      <c r="G17" s="108"/>
      <c r="H17" s="107"/>
      <c r="I17" s="109"/>
      <c r="J17" s="32"/>
      <c r="K17" s="111"/>
      <c r="L17" s="112"/>
      <c r="M17" s="107"/>
    </row>
    <row r="18" spans="4:13" ht="15" customHeight="1">
      <c r="D18" s="107"/>
      <c r="E18" s="107"/>
      <c r="F18" s="72"/>
      <c r="G18" s="108"/>
      <c r="H18" s="107"/>
      <c r="I18" s="109"/>
      <c r="J18" s="32"/>
      <c r="K18" s="111"/>
      <c r="L18" s="112"/>
      <c r="M18" s="107"/>
    </row>
    <row r="19" spans="4:13" ht="15" customHeight="1">
      <c r="L19" s="103"/>
    </row>
    <row r="20" spans="4:13" ht="15" customHeight="1">
      <c r="D20" s="118" t="s">
        <v>428</v>
      </c>
      <c r="E20" s="100"/>
      <c r="F20" s="100"/>
      <c r="G20" s="100"/>
      <c r="H20" s="100"/>
      <c r="I20" s="100"/>
      <c r="J20" s="100"/>
      <c r="K20" s="119">
        <f>SUM(K16:K18)</f>
        <v>85.63105429372159</v>
      </c>
      <c r="L20" s="120">
        <f>1</f>
        <v>1</v>
      </c>
      <c r="M20" s="121" t="s">
        <v>416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89999084444715716"/>
  </sheetPr>
  <dimension ref="A1:M20"/>
  <sheetViews>
    <sheetView showGridLines="0" workbookViewId="0">
      <selection activeCell="D11" sqref="D11:XFD11"/>
    </sheetView>
  </sheetViews>
  <sheetFormatPr defaultColWidth="30.69921875" defaultRowHeight="15" customHeight="1"/>
  <cols>
    <col min="1" max="3" width="1.69921875" customWidth="1"/>
    <col min="4" max="16384" width="30.69921875" style="99"/>
  </cols>
  <sheetData>
    <row r="1" spans="1:13" s="124" customFormat="1" ht="15" customHeight="1">
      <c r="A1"/>
      <c r="B1"/>
      <c r="C1"/>
      <c r="D1" s="123" t="s">
        <v>429</v>
      </c>
      <c r="E1" s="123"/>
      <c r="F1" s="123"/>
      <c r="G1" s="123"/>
      <c r="H1" s="123"/>
      <c r="I1" s="123"/>
      <c r="J1" s="123"/>
      <c r="K1" s="123"/>
      <c r="L1" s="123"/>
      <c r="M1" s="123"/>
    </row>
    <row r="2" spans="1:13" ht="15" customHeight="1">
      <c r="D2" s="104" t="s">
        <v>430</v>
      </c>
      <c r="E2" s="101"/>
      <c r="F2" s="101"/>
      <c r="G2" s="101"/>
      <c r="H2" s="101"/>
      <c r="I2" s="101"/>
      <c r="J2" s="101"/>
      <c r="K2" s="101"/>
      <c r="L2" s="101"/>
      <c r="M2" s="101"/>
    </row>
    <row r="3" spans="1:13" ht="15" customHeight="1">
      <c r="D3" s="105" t="s">
        <v>431</v>
      </c>
      <c r="E3" s="97"/>
      <c r="F3" s="97"/>
      <c r="G3" s="97"/>
      <c r="H3" s="97"/>
      <c r="I3" s="97"/>
      <c r="J3" s="97"/>
      <c r="K3" s="122"/>
      <c r="L3" s="122"/>
      <c r="M3" s="122"/>
    </row>
    <row r="5" spans="1:13" s="124" customFormat="1" ht="15" customHeight="1">
      <c r="A5"/>
      <c r="B5"/>
      <c r="C5"/>
      <c r="D5" s="123" t="s">
        <v>405</v>
      </c>
      <c r="E5" s="123"/>
      <c r="F5" s="123"/>
      <c r="G5" s="123"/>
      <c r="H5" s="123"/>
      <c r="I5" s="123"/>
      <c r="J5" s="123"/>
      <c r="K5" s="123"/>
      <c r="L5" s="123"/>
      <c r="M5" s="123"/>
    </row>
    <row r="6" spans="1:13" ht="15" customHeight="1">
      <c r="D6" s="106" t="s">
        <v>6</v>
      </c>
      <c r="E6" s="106" t="s">
        <v>356</v>
      </c>
      <c r="F6" s="106" t="s">
        <v>8</v>
      </c>
      <c r="G6" s="106" t="s">
        <v>357</v>
      </c>
      <c r="H6" s="106" t="s">
        <v>358</v>
      </c>
      <c r="I6" s="106" t="s">
        <v>42</v>
      </c>
    </row>
    <row r="7" spans="1:13" ht="15" customHeight="1">
      <c r="D7" s="107" t="s">
        <v>281</v>
      </c>
      <c r="E7" s="108">
        <f>'Fixed Store Peer Calc'!R21</f>
        <v>11.285169630641814</v>
      </c>
      <c r="F7" s="107" t="s">
        <v>394</v>
      </c>
      <c r="G7" s="109">
        <v>1</v>
      </c>
      <c r="H7" s="107" t="s">
        <v>432</v>
      </c>
      <c r="I7" s="110" t="s">
        <v>421</v>
      </c>
    </row>
    <row r="8" spans="1:13" ht="15" customHeight="1">
      <c r="D8" s="107" t="s">
        <v>284</v>
      </c>
      <c r="E8" s="108">
        <f>'Fixed Store Peer Calc'!R22</f>
        <v>25.711730078542537</v>
      </c>
      <c r="F8" s="107" t="s">
        <v>394</v>
      </c>
      <c r="G8" s="109">
        <v>1</v>
      </c>
      <c r="H8" s="107" t="s">
        <v>283</v>
      </c>
      <c r="I8" s="110" t="s">
        <v>407</v>
      </c>
    </row>
    <row r="9" spans="1:13" ht="15" customHeight="1">
      <c r="D9" s="107" t="s">
        <v>317</v>
      </c>
      <c r="E9" s="108">
        <f>'Fixed Store Peer Calc'!G31</f>
        <v>18.498449854592174</v>
      </c>
      <c r="F9" s="107" t="s">
        <v>394</v>
      </c>
      <c r="G9" s="109">
        <v>1</v>
      </c>
      <c r="H9" s="107" t="s">
        <v>433</v>
      </c>
      <c r="I9" s="110" t="s">
        <v>412</v>
      </c>
    </row>
    <row r="10" spans="1:13" ht="15" customHeight="1">
      <c r="D10" s="107"/>
      <c r="E10" s="108"/>
      <c r="F10" s="107"/>
      <c r="G10" s="109"/>
      <c r="H10" s="107"/>
      <c r="I10" s="110"/>
    </row>
    <row r="11" spans="1:13" ht="15" customHeight="1">
      <c r="D11" s="107"/>
      <c r="E11" s="108"/>
      <c r="F11" s="107"/>
      <c r="G11" s="109"/>
      <c r="H11" s="107"/>
      <c r="I11" s="110"/>
    </row>
    <row r="14" spans="1:13" s="124" customFormat="1" ht="15" customHeight="1">
      <c r="A14"/>
      <c r="B14"/>
      <c r="C14"/>
      <c r="D14" s="123" t="s">
        <v>364</v>
      </c>
      <c r="E14" s="123"/>
      <c r="F14" s="123"/>
      <c r="G14" s="123"/>
      <c r="H14" s="123"/>
      <c r="I14" s="123"/>
      <c r="J14" s="123"/>
      <c r="K14" s="123"/>
      <c r="L14" s="123"/>
      <c r="M14" s="123"/>
    </row>
    <row r="15" spans="1:13" ht="15" customHeight="1">
      <c r="D15" s="106" t="s">
        <v>365</v>
      </c>
      <c r="E15" s="106" t="s">
        <v>366</v>
      </c>
      <c r="F15" s="106" t="s">
        <v>367</v>
      </c>
      <c r="G15" s="106" t="s">
        <v>368</v>
      </c>
      <c r="H15" s="106" t="s">
        <v>8</v>
      </c>
      <c r="I15" s="106" t="s">
        <v>357</v>
      </c>
      <c r="J15" s="106" t="s">
        <v>370</v>
      </c>
      <c r="K15" s="106" t="s">
        <v>371</v>
      </c>
      <c r="L15" s="106" t="s">
        <v>372</v>
      </c>
      <c r="M15" s="106" t="s">
        <v>373</v>
      </c>
    </row>
    <row r="16" spans="1:13" ht="15" customHeight="1">
      <c r="D16" s="107" t="s">
        <v>434</v>
      </c>
      <c r="E16" s="107" t="s">
        <v>435</v>
      </c>
      <c r="F16" s="72">
        <v>5</v>
      </c>
      <c r="G16" s="108">
        <f>'Fixed Store Peer Calc'!G31</f>
        <v>18.498449854592174</v>
      </c>
      <c r="H16" s="117" t="s">
        <v>394</v>
      </c>
      <c r="I16" s="109">
        <v>1</v>
      </c>
      <c r="J16" s="32">
        <v>1</v>
      </c>
      <c r="K16" s="111">
        <f>F16*G16*I16*J16</f>
        <v>92.492249272960862</v>
      </c>
      <c r="L16" s="112">
        <f>K16/$K$20</f>
        <v>1</v>
      </c>
      <c r="M16" s="107" t="s">
        <v>436</v>
      </c>
    </row>
    <row r="17" spans="4:13" ht="15" customHeight="1">
      <c r="D17" s="107"/>
      <c r="E17" s="107"/>
      <c r="F17" s="72"/>
      <c r="G17" s="108"/>
      <c r="H17" s="107"/>
      <c r="I17" s="109"/>
      <c r="J17" s="32"/>
      <c r="K17" s="111"/>
      <c r="L17" s="112"/>
      <c r="M17" s="107"/>
    </row>
    <row r="18" spans="4:13" ht="15" customHeight="1">
      <c r="D18" s="107"/>
      <c r="E18" s="107"/>
      <c r="F18" s="72"/>
      <c r="G18" s="108"/>
      <c r="H18" s="107"/>
      <c r="I18" s="109"/>
      <c r="J18" s="32"/>
      <c r="K18" s="111"/>
      <c r="L18" s="112"/>
      <c r="M18" s="107"/>
    </row>
    <row r="19" spans="4:13" ht="15" customHeight="1">
      <c r="L19" s="103"/>
    </row>
    <row r="20" spans="4:13" ht="15" customHeight="1">
      <c r="D20" s="118" t="s">
        <v>437</v>
      </c>
      <c r="E20" s="100"/>
      <c r="F20" s="100"/>
      <c r="G20" s="100"/>
      <c r="H20" s="100"/>
      <c r="I20" s="100"/>
      <c r="J20" s="100"/>
      <c r="K20" s="119">
        <f>SUM(K16:K18)</f>
        <v>92.492249272960862</v>
      </c>
      <c r="L20" s="120">
        <f>1</f>
        <v>1</v>
      </c>
      <c r="M20" s="121" t="s">
        <v>416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89999084444715716"/>
  </sheetPr>
  <dimension ref="A1:M20"/>
  <sheetViews>
    <sheetView showGridLines="0" topLeftCell="D1" zoomScale="85" zoomScaleNormal="85" workbookViewId="0">
      <selection activeCell="D12" sqref="D12:XFD12"/>
    </sheetView>
  </sheetViews>
  <sheetFormatPr defaultColWidth="30.69921875" defaultRowHeight="15" customHeight="1"/>
  <cols>
    <col min="1" max="3" width="1.69921875" customWidth="1"/>
    <col min="4" max="16384" width="30.69921875" style="99"/>
  </cols>
  <sheetData>
    <row r="1" spans="1:13" s="124" customFormat="1" ht="15" customHeight="1">
      <c r="A1"/>
      <c r="B1"/>
      <c r="C1"/>
      <c r="D1" s="123" t="s">
        <v>438</v>
      </c>
      <c r="E1" s="123"/>
      <c r="F1" s="123"/>
      <c r="G1" s="123"/>
      <c r="H1" s="123"/>
      <c r="I1" s="123"/>
      <c r="J1" s="123"/>
      <c r="K1" s="123"/>
      <c r="L1" s="123"/>
      <c r="M1" s="123"/>
    </row>
    <row r="2" spans="1:13" ht="15" customHeight="1">
      <c r="D2" s="104" t="s">
        <v>439</v>
      </c>
      <c r="E2" s="101"/>
      <c r="F2" s="101"/>
      <c r="G2" s="101"/>
      <c r="H2" s="101"/>
      <c r="I2" s="101"/>
      <c r="J2" s="101"/>
      <c r="K2" s="101"/>
      <c r="L2" s="101"/>
      <c r="M2" s="101"/>
    </row>
    <row r="3" spans="1:13" ht="15" customHeight="1">
      <c r="D3" s="105" t="s">
        <v>440</v>
      </c>
      <c r="E3" s="97"/>
      <c r="F3" s="97"/>
      <c r="G3" s="97"/>
      <c r="H3" s="97"/>
      <c r="I3" s="97"/>
      <c r="J3" s="97"/>
      <c r="K3" s="122"/>
      <c r="L3" s="122"/>
      <c r="M3" s="122"/>
    </row>
    <row r="5" spans="1:13" s="124" customFormat="1" ht="15" customHeight="1">
      <c r="A5"/>
      <c r="B5"/>
      <c r="C5"/>
      <c r="D5" s="123" t="s">
        <v>405</v>
      </c>
      <c r="E5" s="123"/>
      <c r="F5" s="123"/>
      <c r="G5" s="123"/>
      <c r="H5" s="123"/>
      <c r="I5" s="123"/>
      <c r="J5" s="123"/>
      <c r="K5" s="123"/>
      <c r="L5" s="123"/>
      <c r="M5" s="123"/>
    </row>
    <row r="6" spans="1:13" ht="15" customHeight="1">
      <c r="D6" s="106" t="s">
        <v>6</v>
      </c>
      <c r="E6" s="106" t="s">
        <v>356</v>
      </c>
      <c r="F6" s="106" t="s">
        <v>8</v>
      </c>
      <c r="G6" s="106" t="s">
        <v>357</v>
      </c>
      <c r="H6" s="106" t="s">
        <v>358</v>
      </c>
      <c r="I6" s="106" t="s">
        <v>42</v>
      </c>
    </row>
    <row r="7" spans="1:13" ht="15" customHeight="1">
      <c r="D7" s="107" t="s">
        <v>290</v>
      </c>
      <c r="E7" s="108">
        <f>'Fixed Store Peer Calc'!R23</f>
        <v>77.502312056103477</v>
      </c>
      <c r="F7" s="107" t="s">
        <v>441</v>
      </c>
      <c r="G7" s="109">
        <v>1</v>
      </c>
      <c r="H7" s="107" t="s">
        <v>442</v>
      </c>
      <c r="I7" s="110" t="s">
        <v>443</v>
      </c>
    </row>
    <row r="8" spans="1:13" ht="15" customHeight="1">
      <c r="D8" s="107" t="s">
        <v>444</v>
      </c>
      <c r="E8" s="108">
        <f>AVERAGE('Fixed Store Peer Calc'!H30,'Fixed Store Peer Calc'!H31)</f>
        <v>89.061651783341233</v>
      </c>
      <c r="F8" s="107" t="s">
        <v>445</v>
      </c>
      <c r="G8" s="109">
        <v>1</v>
      </c>
      <c r="H8" s="107" t="s">
        <v>446</v>
      </c>
      <c r="I8" s="110" t="s">
        <v>447</v>
      </c>
    </row>
    <row r="9" spans="1:13" ht="15" customHeight="1">
      <c r="D9" s="107" t="s">
        <v>319</v>
      </c>
      <c r="E9" s="108">
        <f>'Fixed Store Peer Calc'!G32</f>
        <v>83.281981919722341</v>
      </c>
      <c r="F9" s="107" t="s">
        <v>441</v>
      </c>
      <c r="G9" s="109">
        <v>1</v>
      </c>
      <c r="H9" s="107" t="s">
        <v>448</v>
      </c>
      <c r="I9" s="110" t="s">
        <v>412</v>
      </c>
    </row>
    <row r="10" spans="1:13" ht="15" customHeight="1">
      <c r="D10" s="107" t="s">
        <v>298</v>
      </c>
      <c r="E10" s="108" t="s">
        <v>449</v>
      </c>
      <c r="F10" s="107" t="s">
        <v>450</v>
      </c>
      <c r="G10" s="109">
        <v>1</v>
      </c>
      <c r="H10" s="107" t="s">
        <v>451</v>
      </c>
      <c r="I10" s="110" t="s">
        <v>452</v>
      </c>
    </row>
    <row r="11" spans="1:13" ht="15" customHeight="1">
      <c r="D11" s="107"/>
      <c r="E11" s="108"/>
      <c r="F11" s="107"/>
      <c r="G11" s="109"/>
      <c r="H11" s="107"/>
      <c r="I11" s="110"/>
    </row>
    <row r="14" spans="1:13" s="124" customFormat="1" ht="15" customHeight="1">
      <c r="A14"/>
      <c r="B14"/>
      <c r="C14"/>
      <c r="D14" s="123" t="s">
        <v>364</v>
      </c>
      <c r="E14" s="123"/>
      <c r="F14" s="123"/>
      <c r="G14" s="123"/>
      <c r="H14" s="123"/>
      <c r="I14" s="123"/>
      <c r="J14" s="123"/>
      <c r="K14" s="123"/>
      <c r="L14" s="123"/>
      <c r="M14" s="123"/>
    </row>
    <row r="15" spans="1:13" ht="15" customHeight="1">
      <c r="D15" s="106" t="s">
        <v>365</v>
      </c>
      <c r="E15" s="106" t="s">
        <v>366</v>
      </c>
      <c r="F15" s="106" t="s">
        <v>367</v>
      </c>
      <c r="G15" s="106" t="s">
        <v>368</v>
      </c>
      <c r="H15" s="106" t="s">
        <v>8</v>
      </c>
      <c r="I15" s="106" t="s">
        <v>357</v>
      </c>
      <c r="J15" s="106" t="s">
        <v>370</v>
      </c>
      <c r="K15" s="106" t="s">
        <v>371</v>
      </c>
      <c r="L15" s="106" t="s">
        <v>372</v>
      </c>
      <c r="M15" s="106" t="s">
        <v>373</v>
      </c>
    </row>
    <row r="16" spans="1:13" ht="15" customHeight="1">
      <c r="D16" s="107" t="s">
        <v>318</v>
      </c>
      <c r="E16" s="107" t="s">
        <v>453</v>
      </c>
      <c r="F16" s="72">
        <v>1</v>
      </c>
      <c r="G16" s="108">
        <f>'Fixed Store Peer Calc'!G32</f>
        <v>83.281981919722341</v>
      </c>
      <c r="H16" s="117" t="s">
        <v>441</v>
      </c>
      <c r="I16" s="109">
        <v>1</v>
      </c>
      <c r="J16" s="32">
        <v>1</v>
      </c>
      <c r="K16" s="111">
        <f>F16*G16*I16*J16</f>
        <v>83.281981919722341</v>
      </c>
      <c r="L16" s="112">
        <f>K16/$K$20</f>
        <v>1</v>
      </c>
      <c r="M16" s="107" t="s">
        <v>454</v>
      </c>
    </row>
    <row r="17" spans="4:13" ht="15" customHeight="1">
      <c r="D17" s="107"/>
      <c r="E17" s="107"/>
      <c r="F17" s="72"/>
      <c r="G17" s="108"/>
      <c r="H17" s="107"/>
      <c r="I17" s="109"/>
      <c r="J17" s="32"/>
      <c r="K17" s="111"/>
      <c r="L17" s="112"/>
      <c r="M17" s="107"/>
    </row>
    <row r="18" spans="4:13" ht="15" customHeight="1">
      <c r="D18" s="107"/>
      <c r="E18" s="107"/>
      <c r="F18" s="72"/>
      <c r="G18" s="108"/>
      <c r="H18" s="107"/>
      <c r="I18" s="109"/>
      <c r="J18" s="32"/>
      <c r="K18" s="111"/>
      <c r="L18" s="112"/>
      <c r="M18" s="107"/>
    </row>
    <row r="19" spans="4:13" ht="15" customHeight="1">
      <c r="L19" s="103"/>
    </row>
    <row r="20" spans="4:13" ht="15" customHeight="1">
      <c r="D20" s="118" t="s">
        <v>455</v>
      </c>
      <c r="E20" s="100"/>
      <c r="F20" s="100"/>
      <c r="G20" s="100"/>
      <c r="H20" s="100"/>
      <c r="I20" s="100"/>
      <c r="J20" s="100"/>
      <c r="K20" s="119">
        <f>SUM(K16:K18)</f>
        <v>83.281981919722341</v>
      </c>
      <c r="L20" s="120">
        <f>1</f>
        <v>1</v>
      </c>
      <c r="M20" s="121" t="s">
        <v>416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"/>
  <sheetViews>
    <sheetView topLeftCell="A1048576" workbookViewId="0">
      <selection sqref="A1:XFD1048576"/>
    </sheetView>
  </sheetViews>
  <sheetFormatPr defaultRowHeight="17.399999999999999" zeroHeight="1"/>
  <sheetData/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9.9978637043366805E-2"/>
  </sheetPr>
  <dimension ref="A1:AA80"/>
  <sheetViews>
    <sheetView showGridLines="0" zoomScale="55" zoomScaleNormal="55" workbookViewId="0">
      <selection sqref="A1:XFD1048576"/>
    </sheetView>
  </sheetViews>
  <sheetFormatPr defaultColWidth="50.69921875" defaultRowHeight="17.399999999999999"/>
  <cols>
    <col min="1" max="3" width="1.69921875" style="2" customWidth="1"/>
    <col min="4" max="10" width="50.69921875" style="2"/>
    <col min="11" max="20" width="50.69921875" style="45"/>
    <col min="21" max="23" width="50.69921875" style="2"/>
    <col min="28" max="16384" width="50.69921875" style="2"/>
  </cols>
  <sheetData>
    <row r="1" spans="1:27" s="3" customFormat="1" ht="1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27" s="4" customFormat="1" ht="15" customHeight="1">
      <c r="A2" s="2"/>
      <c r="B2" s="2"/>
      <c r="C2" s="2"/>
      <c r="D2" s="17" t="s">
        <v>1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7" ht="15" customHeight="1">
      <c r="D3" s="5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7" ht="15" customHeight="1">
      <c r="D4" s="6" t="s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7" ht="15" customHeight="1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7" ht="15" customHeight="1">
      <c r="C6" s="2" t="s">
        <v>4</v>
      </c>
      <c r="D6" s="18" t="s">
        <v>5</v>
      </c>
      <c r="E6" s="18"/>
      <c r="F6" s="18"/>
      <c r="G6" s="18"/>
      <c r="H6" s="18"/>
      <c r="I6" s="18"/>
      <c r="J6" s="46"/>
      <c r="K6" s="46"/>
      <c r="L6" s="46"/>
      <c r="M6" s="46"/>
      <c r="N6" s="6"/>
      <c r="O6" s="6"/>
      <c r="P6" s="6"/>
      <c r="Q6" s="6"/>
      <c r="R6" s="6"/>
      <c r="S6" s="6"/>
      <c r="T6" s="6"/>
      <c r="U6" s="6"/>
      <c r="V6" s="6"/>
      <c r="X6" s="90"/>
      <c r="Y6" s="90"/>
      <c r="Z6" s="90"/>
      <c r="AA6" s="90"/>
    </row>
    <row r="7" spans="1:27" ht="15" customHeight="1">
      <c r="D7" s="19" t="s">
        <v>6</v>
      </c>
      <c r="E7" s="19" t="s">
        <v>7</v>
      </c>
      <c r="F7" s="19" t="s">
        <v>8</v>
      </c>
      <c r="G7" s="19" t="s">
        <v>9</v>
      </c>
      <c r="J7" s="66"/>
      <c r="K7" s="66"/>
      <c r="L7" s="66"/>
      <c r="M7" s="66"/>
      <c r="N7" s="6"/>
      <c r="O7" s="6"/>
      <c r="P7" s="6"/>
      <c r="Q7" s="6"/>
      <c r="R7" s="6"/>
      <c r="S7" s="6"/>
      <c r="T7" s="6"/>
      <c r="U7" s="6"/>
      <c r="V7" s="6"/>
      <c r="X7" s="47"/>
      <c r="Y7" s="47"/>
      <c r="Z7" s="47"/>
      <c r="AA7" s="47"/>
    </row>
    <row r="8" spans="1:27" ht="15" customHeight="1">
      <c r="D8" s="7" t="s">
        <v>10</v>
      </c>
      <c r="E8" s="8">
        <f>AVERAGE(L24:L44)</f>
        <v>2399.0952380952381</v>
      </c>
      <c r="F8" s="7" t="s">
        <v>11</v>
      </c>
      <c r="G8" s="7" t="s">
        <v>12</v>
      </c>
      <c r="K8" s="2"/>
      <c r="L8" s="36"/>
      <c r="M8" s="2"/>
      <c r="N8" s="6"/>
      <c r="O8" s="6"/>
      <c r="P8" s="6"/>
      <c r="Q8" s="6"/>
      <c r="R8" s="6"/>
      <c r="S8" s="6"/>
      <c r="T8" s="6"/>
      <c r="U8" s="6"/>
      <c r="V8" s="6"/>
      <c r="X8" s="34"/>
      <c r="Y8" s="48"/>
      <c r="Z8" s="48"/>
      <c r="AA8" s="34"/>
    </row>
    <row r="9" spans="1:27" ht="15" customHeight="1">
      <c r="D9" s="7" t="s">
        <v>13</v>
      </c>
      <c r="E9" s="8">
        <f>MEDIAN(L24:L44)</f>
        <v>1923</v>
      </c>
      <c r="F9" s="7" t="s">
        <v>11</v>
      </c>
      <c r="G9" s="7" t="s">
        <v>14</v>
      </c>
      <c r="K9" s="2"/>
      <c r="L9" s="36"/>
      <c r="M9" s="2"/>
      <c r="N9" s="6"/>
      <c r="O9" s="6"/>
      <c r="P9" s="6"/>
      <c r="Q9" s="6"/>
      <c r="R9" s="6"/>
      <c r="S9" s="6"/>
      <c r="T9" s="6"/>
      <c r="U9" s="6"/>
      <c r="V9" s="6"/>
      <c r="X9" s="34"/>
      <c r="Y9" s="48"/>
      <c r="Z9" s="48"/>
      <c r="AA9" s="34"/>
    </row>
    <row r="10" spans="1:27" ht="15" customHeight="1">
      <c r="D10" s="7" t="s">
        <v>15</v>
      </c>
      <c r="E10" s="8">
        <f>AVERAGE(N47:N56)</f>
        <v>14.3</v>
      </c>
      <c r="F10" s="7" t="s">
        <v>16</v>
      </c>
      <c r="G10" s="7" t="s">
        <v>17</v>
      </c>
      <c r="K10" s="2"/>
      <c r="L10" s="36"/>
      <c r="M10" s="2"/>
      <c r="N10" s="6"/>
      <c r="O10" s="6"/>
      <c r="P10" s="6"/>
      <c r="Q10" s="6"/>
      <c r="R10" s="6"/>
      <c r="S10" s="6"/>
      <c r="T10" s="6"/>
      <c r="U10" s="6"/>
      <c r="V10" s="6"/>
      <c r="X10" s="34"/>
      <c r="Y10" s="48"/>
      <c r="Z10" s="48"/>
      <c r="AA10" s="34"/>
    </row>
    <row r="11" spans="1:27" ht="15" customHeight="1">
      <c r="D11" s="7" t="s">
        <v>18</v>
      </c>
      <c r="E11" s="8">
        <f>MEDIAN(N47:N56)</f>
        <v>9.5</v>
      </c>
      <c r="F11" s="7" t="s">
        <v>16</v>
      </c>
      <c r="G11" s="7" t="s">
        <v>19</v>
      </c>
      <c r="K11" s="2"/>
      <c r="L11" s="36"/>
      <c r="M11" s="2"/>
      <c r="N11" s="6"/>
      <c r="O11" s="6"/>
      <c r="P11" s="6"/>
      <c r="Q11" s="6"/>
      <c r="R11" s="6"/>
      <c r="S11" s="6"/>
      <c r="T11" s="6"/>
      <c r="U11" s="6"/>
      <c r="V11" s="6"/>
      <c r="X11" s="34"/>
      <c r="Y11" s="48"/>
      <c r="Z11" s="48"/>
      <c r="AA11" s="34"/>
    </row>
    <row r="12" spans="1:27" ht="15" customHeight="1">
      <c r="D12" s="67" t="s">
        <v>20</v>
      </c>
      <c r="E12" s="68">
        <v>9.3000000000000007</v>
      </c>
      <c r="F12" s="7"/>
      <c r="G12" s="67" t="s">
        <v>518</v>
      </c>
      <c r="J12" s="35"/>
      <c r="K12" s="36"/>
      <c r="L12" s="36"/>
      <c r="M12" s="35"/>
      <c r="N12" s="6"/>
      <c r="O12" s="6"/>
      <c r="P12" s="6"/>
      <c r="Q12" s="6"/>
      <c r="R12" s="6"/>
      <c r="S12" s="6"/>
      <c r="T12" s="6"/>
      <c r="U12" s="6"/>
      <c r="V12" s="6"/>
      <c r="X12" s="34"/>
      <c r="Y12" s="48"/>
      <c r="Z12" s="48"/>
      <c r="AA12" s="34"/>
    </row>
    <row r="13" spans="1:27" ht="15" customHeight="1">
      <c r="D13" s="67" t="s">
        <v>21</v>
      </c>
      <c r="E13" s="68">
        <v>17.13</v>
      </c>
      <c r="F13" s="7"/>
      <c r="G13" s="67" t="s">
        <v>519</v>
      </c>
      <c r="J13" s="35"/>
      <c r="K13" s="36"/>
      <c r="L13" s="36"/>
      <c r="M13" s="35"/>
      <c r="N13" s="6"/>
      <c r="O13" s="6"/>
      <c r="P13" s="6"/>
      <c r="Q13" s="6"/>
      <c r="R13" s="6"/>
      <c r="S13" s="6"/>
      <c r="T13" s="6"/>
      <c r="U13" s="6"/>
      <c r="V13" s="6"/>
      <c r="X13" s="34"/>
      <c r="Y13" s="48"/>
      <c r="Z13" s="48"/>
      <c r="AA13" s="34"/>
    </row>
    <row r="14" spans="1:27" ht="15" customHeight="1">
      <c r="D14" s="67" t="s">
        <v>22</v>
      </c>
      <c r="E14" s="68">
        <v>18.5</v>
      </c>
      <c r="F14" s="7"/>
      <c r="G14" s="67" t="s">
        <v>520</v>
      </c>
      <c r="J14" s="35"/>
      <c r="K14" s="36"/>
      <c r="L14" s="36"/>
      <c r="M14" s="35"/>
      <c r="N14" s="6"/>
      <c r="O14" s="6"/>
      <c r="P14" s="6"/>
      <c r="Q14" s="6"/>
      <c r="R14" s="6"/>
      <c r="S14" s="6"/>
      <c r="T14" s="6"/>
      <c r="U14" s="6"/>
      <c r="V14" s="6"/>
      <c r="X14" s="34"/>
      <c r="Y14" s="48"/>
      <c r="Z14" s="48"/>
      <c r="AA14" s="34"/>
    </row>
    <row r="15" spans="1:27" ht="15" customHeight="1">
      <c r="D15" s="67" t="s">
        <v>23</v>
      </c>
      <c r="E15" s="68">
        <v>83.28</v>
      </c>
      <c r="F15" s="7"/>
      <c r="G15" s="67" t="s">
        <v>24</v>
      </c>
      <c r="J15" s="35"/>
      <c r="K15" s="36"/>
      <c r="L15" s="36"/>
      <c r="M15" s="35"/>
      <c r="N15" s="6"/>
      <c r="O15" s="6"/>
      <c r="P15" s="6"/>
      <c r="Q15" s="6"/>
      <c r="R15" s="6"/>
      <c r="S15" s="6"/>
      <c r="T15" s="6"/>
      <c r="U15" s="6"/>
      <c r="V15" s="6"/>
      <c r="X15" s="34"/>
      <c r="Y15" s="48"/>
      <c r="Z15" s="48"/>
      <c r="AA15" s="34"/>
    </row>
    <row r="16" spans="1:27" ht="15" customHeight="1">
      <c r="D16" s="7"/>
      <c r="E16" s="8"/>
      <c r="F16" s="7"/>
      <c r="G16" s="7"/>
      <c r="J16" s="35"/>
      <c r="K16" s="36"/>
      <c r="L16" s="36"/>
      <c r="M16" s="35"/>
      <c r="N16" s="6"/>
      <c r="O16" s="6"/>
      <c r="P16" s="6"/>
      <c r="Q16" s="6"/>
      <c r="R16" s="6"/>
      <c r="S16" s="6"/>
      <c r="T16" s="6"/>
      <c r="U16" s="6"/>
      <c r="V16" s="6"/>
      <c r="X16" s="34"/>
      <c r="Y16" s="48"/>
      <c r="Z16" s="48"/>
      <c r="AA16" s="34"/>
    </row>
    <row r="17" spans="1:27" ht="15" customHeight="1">
      <c r="D17" s="7"/>
      <c r="E17" s="8"/>
      <c r="F17" s="7"/>
      <c r="G17" s="7"/>
      <c r="J17" s="35"/>
      <c r="K17" s="36"/>
      <c r="L17" s="36"/>
      <c r="M17" s="35"/>
      <c r="N17" s="6"/>
      <c r="O17" s="6"/>
      <c r="P17" s="6"/>
      <c r="Q17" s="6"/>
      <c r="R17" s="6"/>
      <c r="S17" s="6"/>
      <c r="T17" s="6"/>
      <c r="U17" s="6"/>
      <c r="V17" s="6"/>
      <c r="X17" s="34"/>
      <c r="Y17" s="48"/>
      <c r="Z17" s="48"/>
      <c r="AA17" s="34"/>
    </row>
    <row r="18" spans="1:27" ht="15" customHeight="1">
      <c r="D18" s="7"/>
      <c r="E18" s="8"/>
      <c r="F18" s="7"/>
      <c r="G18" s="7"/>
      <c r="J18" s="35"/>
      <c r="K18" s="36"/>
      <c r="L18" s="36"/>
      <c r="M18" s="35"/>
      <c r="N18" s="6"/>
      <c r="O18" s="6"/>
      <c r="P18" s="6"/>
      <c r="Q18" s="6"/>
      <c r="R18" s="6"/>
      <c r="S18" s="6"/>
      <c r="T18" s="6"/>
      <c r="U18" s="6"/>
      <c r="V18" s="6"/>
      <c r="X18" s="34"/>
      <c r="Y18" s="48"/>
      <c r="Z18" s="48"/>
      <c r="AA18" s="34"/>
    </row>
    <row r="19" spans="1:27" ht="15" customHeight="1">
      <c r="D19" s="7"/>
      <c r="E19" s="8"/>
      <c r="F19" s="7"/>
      <c r="G19" s="7"/>
      <c r="J19" s="35"/>
      <c r="K19" s="36"/>
      <c r="L19" s="36"/>
      <c r="M19" s="35"/>
      <c r="N19" s="6"/>
      <c r="O19" s="6"/>
      <c r="P19" s="6"/>
      <c r="Q19" s="6"/>
      <c r="R19" s="6"/>
      <c r="S19" s="6"/>
      <c r="T19" s="6"/>
      <c r="U19" s="6"/>
      <c r="V19" s="6"/>
      <c r="X19" s="34"/>
      <c r="Y19" s="48"/>
      <c r="Z19" s="48"/>
      <c r="AA19" s="34"/>
    </row>
    <row r="20" spans="1:27" ht="15" customHeight="1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7" ht="15" customHeight="1">
      <c r="C21" s="2" t="s">
        <v>4</v>
      </c>
      <c r="D21" s="20" t="s">
        <v>25</v>
      </c>
      <c r="E21" s="20" t="s">
        <v>26</v>
      </c>
      <c r="F21" s="20" t="s">
        <v>27</v>
      </c>
      <c r="G21" s="20" t="s">
        <v>28</v>
      </c>
      <c r="H21" s="20" t="s">
        <v>29</v>
      </c>
      <c r="I21" s="20" t="s">
        <v>30</v>
      </c>
      <c r="J21" s="20" t="s">
        <v>31</v>
      </c>
      <c r="K21" s="21" t="s">
        <v>32</v>
      </c>
      <c r="L21" s="69" t="s">
        <v>33</v>
      </c>
      <c r="M21" s="69" t="s">
        <v>34</v>
      </c>
      <c r="N21" s="69" t="s">
        <v>35</v>
      </c>
      <c r="O21" s="21" t="s">
        <v>36</v>
      </c>
      <c r="P21" s="69" t="s">
        <v>37</v>
      </c>
      <c r="Q21" s="69" t="s">
        <v>38</v>
      </c>
      <c r="R21" s="21" t="s">
        <v>39</v>
      </c>
      <c r="S21" s="69" t="s">
        <v>40</v>
      </c>
      <c r="T21" s="20" t="s">
        <v>41</v>
      </c>
      <c r="U21" s="20" t="s">
        <v>42</v>
      </c>
      <c r="V21" s="20" t="s">
        <v>43</v>
      </c>
    </row>
    <row r="22" spans="1:27" ht="15" customHeight="1">
      <c r="D22" s="9"/>
      <c r="E22" s="9"/>
      <c r="F22" s="9"/>
      <c r="G22" s="9"/>
      <c r="H22" s="9"/>
      <c r="I22" s="9"/>
      <c r="J22" s="9"/>
      <c r="K22" s="10"/>
      <c r="L22" s="10" t="s">
        <v>44</v>
      </c>
      <c r="M22" s="10" t="s">
        <v>45</v>
      </c>
      <c r="N22" s="10" t="s">
        <v>46</v>
      </c>
      <c r="O22" s="10"/>
      <c r="P22" s="10" t="s">
        <v>47</v>
      </c>
      <c r="Q22" s="10" t="s">
        <v>48</v>
      </c>
      <c r="R22" s="10"/>
      <c r="S22" s="10" t="s">
        <v>49</v>
      </c>
      <c r="T22" s="9"/>
      <c r="U22" s="9"/>
      <c r="V22" s="9"/>
    </row>
    <row r="23" spans="1:27" s="1" customFormat="1" ht="15" customHeight="1">
      <c r="A23" s="2"/>
      <c r="B23" s="2"/>
      <c r="C23" s="2" t="s">
        <v>4</v>
      </c>
      <c r="D23" s="1" t="s">
        <v>50</v>
      </c>
      <c r="K23" s="22"/>
      <c r="L23" s="23"/>
      <c r="M23" s="24"/>
      <c r="N23" s="24"/>
      <c r="O23" s="22"/>
      <c r="P23" s="24"/>
      <c r="Q23" s="22"/>
      <c r="R23" s="22"/>
      <c r="S23" s="24"/>
    </row>
    <row r="24" spans="1:27" ht="15" customHeight="1">
      <c r="D24" s="9" t="s">
        <v>51</v>
      </c>
      <c r="E24" s="9" t="s">
        <v>52</v>
      </c>
      <c r="F24" s="9" t="s">
        <v>53</v>
      </c>
      <c r="G24" s="9" t="s">
        <v>54</v>
      </c>
      <c r="H24" s="9" t="s">
        <v>55</v>
      </c>
      <c r="I24" s="9" t="s">
        <v>56</v>
      </c>
      <c r="J24" s="9" t="s">
        <v>57</v>
      </c>
      <c r="K24" s="49">
        <v>1510</v>
      </c>
      <c r="L24" s="50">
        <v>4764</v>
      </c>
      <c r="M24" s="51">
        <f t="shared" ref="M24:M44" si="0">L24*12/10000</f>
        <v>5.7168000000000001</v>
      </c>
      <c r="N24" s="51"/>
      <c r="O24" s="49"/>
      <c r="P24" s="51"/>
      <c r="Q24" s="49">
        <v>1005</v>
      </c>
      <c r="R24" s="49"/>
      <c r="S24" s="51"/>
      <c r="T24" s="52" t="s">
        <v>58</v>
      </c>
      <c r="U24" s="60" t="s">
        <v>59</v>
      </c>
      <c r="V24" s="9" t="s">
        <v>60</v>
      </c>
    </row>
    <row r="25" spans="1:27" ht="15" customHeight="1">
      <c r="D25" s="15" t="s">
        <v>51</v>
      </c>
      <c r="E25" s="15" t="s">
        <v>61</v>
      </c>
      <c r="F25" s="15" t="s">
        <v>62</v>
      </c>
      <c r="G25" s="15" t="s">
        <v>54</v>
      </c>
      <c r="H25" s="15" t="s">
        <v>55</v>
      </c>
      <c r="I25" s="15" t="s">
        <v>56</v>
      </c>
      <c r="J25" s="15" t="s">
        <v>57</v>
      </c>
      <c r="K25" s="53">
        <v>3325</v>
      </c>
      <c r="L25" s="54">
        <v>3237</v>
      </c>
      <c r="M25" s="55">
        <f t="shared" si="0"/>
        <v>3.8843999999999999</v>
      </c>
      <c r="N25" s="55"/>
      <c r="O25" s="53"/>
      <c r="P25" s="55"/>
      <c r="Q25" s="53">
        <v>2241</v>
      </c>
      <c r="R25" s="53"/>
      <c r="S25" s="55"/>
      <c r="T25" s="56" t="s">
        <v>58</v>
      </c>
      <c r="U25" s="61" t="s">
        <v>63</v>
      </c>
      <c r="V25" s="15" t="s">
        <v>64</v>
      </c>
    </row>
    <row r="26" spans="1:27" ht="15" customHeight="1">
      <c r="D26" s="9" t="s">
        <v>51</v>
      </c>
      <c r="E26" s="9" t="s">
        <v>61</v>
      </c>
      <c r="F26" s="9" t="s">
        <v>65</v>
      </c>
      <c r="G26" s="9" t="s">
        <v>54</v>
      </c>
      <c r="H26" s="9" t="s">
        <v>55</v>
      </c>
      <c r="I26" s="9" t="s">
        <v>56</v>
      </c>
      <c r="J26" s="9" t="s">
        <v>57</v>
      </c>
      <c r="K26" s="49">
        <v>2649</v>
      </c>
      <c r="L26" s="50">
        <v>2266</v>
      </c>
      <c r="M26" s="51">
        <f t="shared" si="0"/>
        <v>2.7191999999999998</v>
      </c>
      <c r="N26" s="51"/>
      <c r="O26" s="49"/>
      <c r="P26" s="51"/>
      <c r="Q26" s="49">
        <v>1803</v>
      </c>
      <c r="R26" s="49"/>
      <c r="S26" s="51"/>
      <c r="T26" s="52" t="s">
        <v>58</v>
      </c>
      <c r="U26" s="60" t="s">
        <v>66</v>
      </c>
      <c r="V26" s="9" t="s">
        <v>67</v>
      </c>
    </row>
    <row r="27" spans="1:27" ht="15" customHeight="1">
      <c r="D27" s="15" t="s">
        <v>51</v>
      </c>
      <c r="E27" s="15" t="s">
        <v>61</v>
      </c>
      <c r="F27" s="15" t="s">
        <v>68</v>
      </c>
      <c r="G27" s="15" t="s">
        <v>54</v>
      </c>
      <c r="H27" s="15" t="s">
        <v>55</v>
      </c>
      <c r="I27" s="15" t="s">
        <v>56</v>
      </c>
      <c r="J27" s="15" t="s">
        <v>57</v>
      </c>
      <c r="K27" s="53">
        <v>1712</v>
      </c>
      <c r="L27" s="54">
        <v>2704</v>
      </c>
      <c r="M27" s="55">
        <f t="shared" si="0"/>
        <v>3.2448000000000001</v>
      </c>
      <c r="N27" s="55"/>
      <c r="O27" s="53"/>
      <c r="P27" s="55"/>
      <c r="Q27" s="53"/>
      <c r="R27" s="53"/>
      <c r="S27" s="55"/>
      <c r="T27" s="56" t="s">
        <v>58</v>
      </c>
      <c r="U27" s="61" t="s">
        <v>69</v>
      </c>
      <c r="V27" s="15" t="s">
        <v>67</v>
      </c>
    </row>
    <row r="28" spans="1:27" ht="15" customHeight="1">
      <c r="D28" s="9" t="s">
        <v>51</v>
      </c>
      <c r="E28" s="9" t="s">
        <v>70</v>
      </c>
      <c r="F28" s="9" t="s">
        <v>71</v>
      </c>
      <c r="G28" s="9" t="s">
        <v>54</v>
      </c>
      <c r="H28" s="9" t="s">
        <v>55</v>
      </c>
      <c r="I28" s="9" t="s">
        <v>56</v>
      </c>
      <c r="J28" s="9" t="s">
        <v>57</v>
      </c>
      <c r="K28" s="49">
        <v>402</v>
      </c>
      <c r="L28" s="50">
        <v>2878</v>
      </c>
      <c r="M28" s="51">
        <f t="shared" si="0"/>
        <v>3.4535999999999998</v>
      </c>
      <c r="N28" s="51"/>
      <c r="O28" s="49"/>
      <c r="P28" s="51"/>
      <c r="Q28" s="49">
        <v>613</v>
      </c>
      <c r="R28" s="49"/>
      <c r="S28" s="51"/>
      <c r="T28" s="52" t="s">
        <v>58</v>
      </c>
      <c r="U28" s="60" t="s">
        <v>72</v>
      </c>
      <c r="V28" s="9" t="s">
        <v>73</v>
      </c>
    </row>
    <row r="29" spans="1:27" ht="15" customHeight="1">
      <c r="D29" s="15" t="s">
        <v>51</v>
      </c>
      <c r="E29" s="15" t="s">
        <v>74</v>
      </c>
      <c r="F29" s="15" t="s">
        <v>75</v>
      </c>
      <c r="G29" s="15" t="s">
        <v>54</v>
      </c>
      <c r="H29" s="15" t="s">
        <v>55</v>
      </c>
      <c r="I29" s="15" t="s">
        <v>56</v>
      </c>
      <c r="J29" s="15" t="s">
        <v>57</v>
      </c>
      <c r="K29" s="53">
        <v>2562</v>
      </c>
      <c r="L29" s="54">
        <v>1623</v>
      </c>
      <c r="M29" s="55">
        <f t="shared" si="0"/>
        <v>1.9476</v>
      </c>
      <c r="N29" s="55"/>
      <c r="O29" s="53"/>
      <c r="P29" s="55"/>
      <c r="Q29" s="53">
        <v>633</v>
      </c>
      <c r="R29" s="53"/>
      <c r="S29" s="55"/>
      <c r="T29" s="56" t="s">
        <v>58</v>
      </c>
      <c r="U29" s="61" t="s">
        <v>76</v>
      </c>
      <c r="V29" s="15" t="s">
        <v>77</v>
      </c>
    </row>
    <row r="30" spans="1:27" ht="15" customHeight="1">
      <c r="D30" s="9" t="s">
        <v>51</v>
      </c>
      <c r="E30" s="9" t="s">
        <v>78</v>
      </c>
      <c r="F30" s="9" t="s">
        <v>79</v>
      </c>
      <c r="G30" s="9" t="s">
        <v>54</v>
      </c>
      <c r="H30" s="9" t="s">
        <v>55</v>
      </c>
      <c r="I30" s="9" t="s">
        <v>56</v>
      </c>
      <c r="J30" s="9" t="s">
        <v>57</v>
      </c>
      <c r="K30" s="49">
        <v>1230</v>
      </c>
      <c r="L30" s="50">
        <v>1845</v>
      </c>
      <c r="M30" s="51">
        <f t="shared" si="0"/>
        <v>2.214</v>
      </c>
      <c r="N30" s="51"/>
      <c r="O30" s="49"/>
      <c r="P30" s="51"/>
      <c r="Q30" s="49">
        <v>1740</v>
      </c>
      <c r="R30" s="49"/>
      <c r="S30" s="51"/>
      <c r="T30" s="52" t="s">
        <v>58</v>
      </c>
      <c r="U30" s="60" t="s">
        <v>80</v>
      </c>
      <c r="V30" s="9" t="s">
        <v>81</v>
      </c>
    </row>
    <row r="31" spans="1:27" ht="15" customHeight="1">
      <c r="D31" s="15" t="s">
        <v>51</v>
      </c>
      <c r="E31" s="15" t="s">
        <v>82</v>
      </c>
      <c r="F31" s="15" t="s">
        <v>83</v>
      </c>
      <c r="G31" s="15" t="s">
        <v>54</v>
      </c>
      <c r="H31" s="15" t="s">
        <v>55</v>
      </c>
      <c r="I31" s="15" t="s">
        <v>56</v>
      </c>
      <c r="J31" s="15" t="s">
        <v>57</v>
      </c>
      <c r="K31" s="53">
        <v>814</v>
      </c>
      <c r="L31" s="54">
        <v>1877</v>
      </c>
      <c r="M31" s="55">
        <f t="shared" si="0"/>
        <v>2.2524000000000002</v>
      </c>
      <c r="N31" s="55"/>
      <c r="O31" s="53"/>
      <c r="P31" s="55"/>
      <c r="Q31" s="53"/>
      <c r="R31" s="53"/>
      <c r="S31" s="55"/>
      <c r="T31" s="56" t="s">
        <v>58</v>
      </c>
      <c r="U31" s="61" t="s">
        <v>84</v>
      </c>
      <c r="V31" s="15" t="s">
        <v>85</v>
      </c>
    </row>
    <row r="32" spans="1:27" ht="15" customHeight="1">
      <c r="D32" s="9" t="s">
        <v>51</v>
      </c>
      <c r="E32" s="9" t="s">
        <v>86</v>
      </c>
      <c r="F32" s="9" t="s">
        <v>87</v>
      </c>
      <c r="G32" s="9" t="s">
        <v>54</v>
      </c>
      <c r="H32" s="9" t="s">
        <v>55</v>
      </c>
      <c r="I32" s="9" t="s">
        <v>56</v>
      </c>
      <c r="J32" s="9" t="s">
        <v>57</v>
      </c>
      <c r="K32" s="49">
        <v>742</v>
      </c>
      <c r="L32" s="50">
        <v>1923</v>
      </c>
      <c r="M32" s="51">
        <f t="shared" si="0"/>
        <v>2.3075999999999999</v>
      </c>
      <c r="N32" s="51"/>
      <c r="O32" s="49"/>
      <c r="P32" s="51"/>
      <c r="Q32" s="49">
        <v>1842</v>
      </c>
      <c r="R32" s="49"/>
      <c r="S32" s="51"/>
      <c r="T32" s="52" t="s">
        <v>58</v>
      </c>
      <c r="U32" s="60" t="s">
        <v>88</v>
      </c>
      <c r="V32" s="9" t="s">
        <v>89</v>
      </c>
    </row>
    <row r="33" spans="1:22" ht="15" customHeight="1">
      <c r="D33" s="15" t="s">
        <v>51</v>
      </c>
      <c r="E33" s="15" t="s">
        <v>90</v>
      </c>
      <c r="F33" s="15" t="s">
        <v>91</v>
      </c>
      <c r="G33" s="15" t="s">
        <v>54</v>
      </c>
      <c r="H33" s="15" t="s">
        <v>55</v>
      </c>
      <c r="I33" s="15" t="s">
        <v>56</v>
      </c>
      <c r="J33" s="15" t="s">
        <v>57</v>
      </c>
      <c r="K33" s="53">
        <v>504</v>
      </c>
      <c r="L33" s="54">
        <v>2053</v>
      </c>
      <c r="M33" s="55">
        <f t="shared" si="0"/>
        <v>2.4636</v>
      </c>
      <c r="N33" s="55"/>
      <c r="O33" s="53"/>
      <c r="P33" s="55"/>
      <c r="Q33" s="53">
        <v>916</v>
      </c>
      <c r="R33" s="53"/>
      <c r="S33" s="55"/>
      <c r="T33" s="56" t="s">
        <v>58</v>
      </c>
      <c r="U33" s="61" t="s">
        <v>92</v>
      </c>
      <c r="V33" s="15" t="s">
        <v>93</v>
      </c>
    </row>
    <row r="34" spans="1:22" ht="15" customHeight="1">
      <c r="D34" s="9" t="s">
        <v>51</v>
      </c>
      <c r="E34" s="9" t="s">
        <v>94</v>
      </c>
      <c r="F34" s="9" t="s">
        <v>95</v>
      </c>
      <c r="G34" s="9" t="s">
        <v>54</v>
      </c>
      <c r="H34" s="9" t="s">
        <v>55</v>
      </c>
      <c r="I34" s="9" t="s">
        <v>56</v>
      </c>
      <c r="J34" s="9" t="s">
        <v>57</v>
      </c>
      <c r="K34" s="49">
        <v>414</v>
      </c>
      <c r="L34" s="50">
        <v>1446</v>
      </c>
      <c r="M34" s="51">
        <f t="shared" si="0"/>
        <v>1.7352000000000001</v>
      </c>
      <c r="N34" s="51"/>
      <c r="O34" s="49"/>
      <c r="P34" s="51"/>
      <c r="Q34" s="49">
        <v>1501</v>
      </c>
      <c r="R34" s="49"/>
      <c r="S34" s="51"/>
      <c r="T34" s="52" t="s">
        <v>58</v>
      </c>
      <c r="U34" s="60" t="s">
        <v>96</v>
      </c>
      <c r="V34" s="9" t="s">
        <v>97</v>
      </c>
    </row>
    <row r="35" spans="1:22" ht="15" customHeight="1">
      <c r="D35" s="15" t="s">
        <v>51</v>
      </c>
      <c r="E35" s="15" t="s">
        <v>98</v>
      </c>
      <c r="F35" s="15" t="s">
        <v>99</v>
      </c>
      <c r="G35" s="15" t="s">
        <v>54</v>
      </c>
      <c r="H35" s="15" t="s">
        <v>55</v>
      </c>
      <c r="I35" s="15" t="s">
        <v>56</v>
      </c>
      <c r="J35" s="15" t="s">
        <v>57</v>
      </c>
      <c r="K35" s="53">
        <v>165</v>
      </c>
      <c r="L35" s="54">
        <v>3269</v>
      </c>
      <c r="M35" s="55">
        <f t="shared" si="0"/>
        <v>3.9228000000000001</v>
      </c>
      <c r="N35" s="55"/>
      <c r="O35" s="53"/>
      <c r="P35" s="55"/>
      <c r="Q35" s="53">
        <v>2797</v>
      </c>
      <c r="R35" s="53"/>
      <c r="S35" s="55"/>
      <c r="T35" s="56" t="s">
        <v>58</v>
      </c>
      <c r="U35" s="61" t="s">
        <v>100</v>
      </c>
      <c r="V35" s="15" t="s">
        <v>101</v>
      </c>
    </row>
    <row r="36" spans="1:22" ht="15" customHeight="1">
      <c r="D36" s="9" t="s">
        <v>51</v>
      </c>
      <c r="E36" s="9" t="s">
        <v>102</v>
      </c>
      <c r="F36" s="9" t="s">
        <v>103</v>
      </c>
      <c r="G36" s="9" t="s">
        <v>54</v>
      </c>
      <c r="H36" s="9" t="s">
        <v>55</v>
      </c>
      <c r="I36" s="9" t="s">
        <v>56</v>
      </c>
      <c r="J36" s="9" t="s">
        <v>57</v>
      </c>
      <c r="K36" s="49">
        <v>146</v>
      </c>
      <c r="L36" s="50">
        <v>3532</v>
      </c>
      <c r="M36" s="51">
        <f t="shared" si="0"/>
        <v>4.2384000000000004</v>
      </c>
      <c r="N36" s="51"/>
      <c r="O36" s="49"/>
      <c r="P36" s="51"/>
      <c r="Q36" s="49"/>
      <c r="R36" s="49"/>
      <c r="S36" s="51"/>
      <c r="T36" s="52" t="s">
        <v>58</v>
      </c>
      <c r="U36" s="60" t="s">
        <v>104</v>
      </c>
      <c r="V36" s="9" t="s">
        <v>105</v>
      </c>
    </row>
    <row r="37" spans="1:22" ht="15" customHeight="1">
      <c r="D37" s="15" t="s">
        <v>51</v>
      </c>
      <c r="E37" s="15" t="s">
        <v>106</v>
      </c>
      <c r="F37" s="15" t="s">
        <v>107</v>
      </c>
      <c r="G37" s="15" t="s">
        <v>54</v>
      </c>
      <c r="H37" s="15" t="s">
        <v>55</v>
      </c>
      <c r="I37" s="15" t="s">
        <v>56</v>
      </c>
      <c r="J37" s="15" t="s">
        <v>57</v>
      </c>
      <c r="K37" s="53">
        <v>199</v>
      </c>
      <c r="L37" s="54">
        <v>1915</v>
      </c>
      <c r="M37" s="55">
        <f t="shared" si="0"/>
        <v>2.298</v>
      </c>
      <c r="N37" s="55"/>
      <c r="O37" s="53"/>
      <c r="P37" s="55"/>
      <c r="Q37" s="53"/>
      <c r="R37" s="53"/>
      <c r="S37" s="55"/>
      <c r="T37" s="56" t="s">
        <v>58</v>
      </c>
      <c r="U37" s="61" t="s">
        <v>108</v>
      </c>
      <c r="V37" s="15" t="s">
        <v>109</v>
      </c>
    </row>
    <row r="38" spans="1:22" ht="15" customHeight="1">
      <c r="D38" s="9" t="s">
        <v>51</v>
      </c>
      <c r="E38" s="9" t="s">
        <v>110</v>
      </c>
      <c r="F38" s="9" t="s">
        <v>111</v>
      </c>
      <c r="G38" s="9" t="s">
        <v>54</v>
      </c>
      <c r="H38" s="9" t="s">
        <v>55</v>
      </c>
      <c r="I38" s="9" t="s">
        <v>56</v>
      </c>
      <c r="J38" s="9" t="s">
        <v>57</v>
      </c>
      <c r="K38" s="49">
        <v>8</v>
      </c>
      <c r="L38" s="50">
        <v>2622</v>
      </c>
      <c r="M38" s="51">
        <f t="shared" si="0"/>
        <v>3.1463999999999999</v>
      </c>
      <c r="N38" s="51"/>
      <c r="O38" s="49"/>
      <c r="P38" s="51"/>
      <c r="Q38" s="49">
        <v>2281</v>
      </c>
      <c r="R38" s="49"/>
      <c r="S38" s="51"/>
      <c r="T38" s="52" t="s">
        <v>58</v>
      </c>
      <c r="U38" s="60" t="s">
        <v>112</v>
      </c>
      <c r="V38" s="9" t="s">
        <v>113</v>
      </c>
    </row>
    <row r="39" spans="1:22" ht="15" customHeight="1">
      <c r="D39" s="15" t="s">
        <v>51</v>
      </c>
      <c r="E39" s="15" t="s">
        <v>110</v>
      </c>
      <c r="F39" s="15" t="s">
        <v>114</v>
      </c>
      <c r="G39" s="15" t="s">
        <v>54</v>
      </c>
      <c r="H39" s="15" t="s">
        <v>55</v>
      </c>
      <c r="I39" s="15" t="s">
        <v>56</v>
      </c>
      <c r="J39" s="15" t="s">
        <v>57</v>
      </c>
      <c r="K39" s="53">
        <v>18</v>
      </c>
      <c r="L39" s="54">
        <v>1569</v>
      </c>
      <c r="M39" s="55">
        <f t="shared" si="0"/>
        <v>1.8828</v>
      </c>
      <c r="N39" s="55"/>
      <c r="O39" s="53"/>
      <c r="P39" s="55"/>
      <c r="Q39" s="53">
        <v>501</v>
      </c>
      <c r="R39" s="53"/>
      <c r="S39" s="55"/>
      <c r="T39" s="56" t="s">
        <v>58</v>
      </c>
      <c r="U39" s="61" t="s">
        <v>115</v>
      </c>
      <c r="V39" s="15" t="s">
        <v>116</v>
      </c>
    </row>
    <row r="40" spans="1:22" ht="15" customHeight="1">
      <c r="D40" s="9" t="s">
        <v>51</v>
      </c>
      <c r="E40" s="9" t="s">
        <v>117</v>
      </c>
      <c r="F40" s="9" t="s">
        <v>118</v>
      </c>
      <c r="G40" s="9" t="s">
        <v>54</v>
      </c>
      <c r="H40" s="9" t="s">
        <v>55</v>
      </c>
      <c r="I40" s="9" t="s">
        <v>56</v>
      </c>
      <c r="J40" s="9" t="s">
        <v>57</v>
      </c>
      <c r="K40" s="49">
        <v>81</v>
      </c>
      <c r="L40" s="50">
        <v>1428</v>
      </c>
      <c r="M40" s="51">
        <f t="shared" si="0"/>
        <v>1.7136</v>
      </c>
      <c r="N40" s="51"/>
      <c r="O40" s="49"/>
      <c r="P40" s="51"/>
      <c r="Q40" s="49">
        <v>953</v>
      </c>
      <c r="R40" s="49"/>
      <c r="S40" s="51"/>
      <c r="T40" s="52" t="s">
        <v>58</v>
      </c>
      <c r="U40" s="60" t="s">
        <v>119</v>
      </c>
      <c r="V40" s="9" t="s">
        <v>120</v>
      </c>
    </row>
    <row r="41" spans="1:22" ht="15" customHeight="1">
      <c r="D41" s="15" t="s">
        <v>51</v>
      </c>
      <c r="E41" s="15" t="s">
        <v>121</v>
      </c>
      <c r="F41" s="15" t="s">
        <v>122</v>
      </c>
      <c r="G41" s="15" t="s">
        <v>54</v>
      </c>
      <c r="H41" s="15" t="s">
        <v>55</v>
      </c>
      <c r="I41" s="15" t="s">
        <v>56</v>
      </c>
      <c r="J41" s="15" t="s">
        <v>57</v>
      </c>
      <c r="K41" s="53">
        <v>151</v>
      </c>
      <c r="L41" s="54">
        <v>461</v>
      </c>
      <c r="M41" s="55">
        <f t="shared" si="0"/>
        <v>0.55320000000000003</v>
      </c>
      <c r="N41" s="55"/>
      <c r="O41" s="53"/>
      <c r="P41" s="55"/>
      <c r="Q41" s="53">
        <v>517</v>
      </c>
      <c r="R41" s="53"/>
      <c r="S41" s="55"/>
      <c r="T41" s="56" t="s">
        <v>58</v>
      </c>
      <c r="U41" s="61" t="s">
        <v>123</v>
      </c>
      <c r="V41" s="15" t="s">
        <v>124</v>
      </c>
    </row>
    <row r="42" spans="1:22" ht="15" customHeight="1">
      <c r="D42" s="9" t="s">
        <v>51</v>
      </c>
      <c r="E42" s="9" t="s">
        <v>121</v>
      </c>
      <c r="F42" s="9" t="s">
        <v>125</v>
      </c>
      <c r="G42" s="9" t="s">
        <v>54</v>
      </c>
      <c r="H42" s="9" t="s">
        <v>55</v>
      </c>
      <c r="I42" s="9" t="s">
        <v>56</v>
      </c>
      <c r="J42" s="9" t="s">
        <v>57</v>
      </c>
      <c r="K42" s="49">
        <v>340</v>
      </c>
      <c r="L42" s="50">
        <v>487</v>
      </c>
      <c r="M42" s="51">
        <f t="shared" si="0"/>
        <v>0.58440000000000003</v>
      </c>
      <c r="N42" s="51"/>
      <c r="O42" s="49"/>
      <c r="P42" s="51"/>
      <c r="Q42" s="49"/>
      <c r="R42" s="49"/>
      <c r="S42" s="51"/>
      <c r="T42" s="52" t="s">
        <v>58</v>
      </c>
      <c r="U42" s="60" t="s">
        <v>126</v>
      </c>
      <c r="V42" s="9" t="s">
        <v>127</v>
      </c>
    </row>
    <row r="43" spans="1:22" ht="15" customHeight="1">
      <c r="D43" s="15" t="s">
        <v>51</v>
      </c>
      <c r="E43" s="15" t="s">
        <v>128</v>
      </c>
      <c r="F43" s="15" t="s">
        <v>129</v>
      </c>
      <c r="G43" s="15" t="s">
        <v>54</v>
      </c>
      <c r="H43" s="15" t="s">
        <v>55</v>
      </c>
      <c r="I43" s="15" t="s">
        <v>56</v>
      </c>
      <c r="J43" s="15" t="s">
        <v>57</v>
      </c>
      <c r="K43" s="53">
        <v>18</v>
      </c>
      <c r="L43" s="54">
        <v>6924</v>
      </c>
      <c r="M43" s="55">
        <f t="shared" si="0"/>
        <v>8.3087999999999997</v>
      </c>
      <c r="N43" s="55"/>
      <c r="O43" s="53"/>
      <c r="P43" s="55"/>
      <c r="Q43" s="53"/>
      <c r="R43" s="53"/>
      <c r="S43" s="55"/>
      <c r="T43" s="56" t="s">
        <v>58</v>
      </c>
      <c r="U43" s="61" t="s">
        <v>130</v>
      </c>
      <c r="V43" s="15" t="s">
        <v>131</v>
      </c>
    </row>
    <row r="44" spans="1:22" ht="15" customHeight="1">
      <c r="D44" s="9" t="s">
        <v>51</v>
      </c>
      <c r="E44" s="9" t="s">
        <v>132</v>
      </c>
      <c r="F44" s="9" t="s">
        <v>133</v>
      </c>
      <c r="G44" s="9" t="s">
        <v>54</v>
      </c>
      <c r="H44" s="9" t="s">
        <v>134</v>
      </c>
      <c r="I44" s="9" t="s">
        <v>135</v>
      </c>
      <c r="J44" s="9" t="s">
        <v>57</v>
      </c>
      <c r="K44" s="49">
        <v>96</v>
      </c>
      <c r="L44" s="50">
        <v>1558</v>
      </c>
      <c r="M44" s="51">
        <f t="shared" si="0"/>
        <v>1.8695999999999999</v>
      </c>
      <c r="N44" s="51"/>
      <c r="O44" s="49"/>
      <c r="P44" s="51"/>
      <c r="Q44" s="49"/>
      <c r="R44" s="49"/>
      <c r="S44" s="51"/>
      <c r="T44" s="52" t="s">
        <v>136</v>
      </c>
      <c r="U44" s="60" t="s">
        <v>137</v>
      </c>
      <c r="V44" s="9" t="s">
        <v>138</v>
      </c>
    </row>
    <row r="45" spans="1:22" ht="15" customHeight="1">
      <c r="D45" s="9"/>
      <c r="E45" s="9"/>
      <c r="F45" s="9"/>
      <c r="G45" s="9"/>
      <c r="H45" s="9"/>
      <c r="I45" s="9"/>
      <c r="J45" s="9"/>
      <c r="K45" s="11"/>
      <c r="L45" s="12"/>
      <c r="M45" s="13"/>
      <c r="N45" s="14"/>
      <c r="O45" s="11"/>
      <c r="P45" s="13"/>
      <c r="Q45" s="11"/>
      <c r="R45" s="11"/>
      <c r="S45" s="13"/>
      <c r="T45" s="9"/>
      <c r="U45" s="60"/>
      <c r="V45" s="9"/>
    </row>
    <row r="46" spans="1:22" s="1" customFormat="1" ht="15" customHeight="1">
      <c r="A46" s="2"/>
      <c r="B46" s="2"/>
      <c r="C46" s="2" t="s">
        <v>4</v>
      </c>
      <c r="D46" s="1" t="s">
        <v>139</v>
      </c>
      <c r="K46" s="22"/>
      <c r="L46" s="23"/>
      <c r="M46" s="24"/>
      <c r="N46" s="24"/>
      <c r="O46" s="22"/>
      <c r="P46" s="24"/>
      <c r="Q46" s="22"/>
      <c r="R46" s="22"/>
      <c r="S46" s="24"/>
      <c r="U46" s="62"/>
    </row>
    <row r="47" spans="1:22" ht="15" customHeight="1">
      <c r="D47" s="15" t="s">
        <v>140</v>
      </c>
      <c r="E47" s="15" t="s">
        <v>141</v>
      </c>
      <c r="F47" s="15" t="s">
        <v>142</v>
      </c>
      <c r="G47" s="15" t="s">
        <v>143</v>
      </c>
      <c r="H47" s="15" t="s">
        <v>144</v>
      </c>
      <c r="I47" s="15" t="s">
        <v>145</v>
      </c>
      <c r="J47" s="15" t="s">
        <v>146</v>
      </c>
      <c r="K47" s="53"/>
      <c r="L47" s="54"/>
      <c r="M47" s="55"/>
      <c r="N47" s="55">
        <v>34</v>
      </c>
      <c r="O47" s="53">
        <v>14</v>
      </c>
      <c r="P47" s="55">
        <f t="shared" ref="P47:P55" si="1">IF(OR(N47="",O47=""),"",N47/O47)</f>
        <v>2.4285714285714284</v>
      </c>
      <c r="Q47" s="53"/>
      <c r="R47" s="53"/>
      <c r="S47" s="55"/>
      <c r="T47" s="56" t="s">
        <v>147</v>
      </c>
      <c r="U47" s="61" t="s">
        <v>148</v>
      </c>
      <c r="V47" s="15" t="s">
        <v>149</v>
      </c>
    </row>
    <row r="48" spans="1:22" ht="15" customHeight="1">
      <c r="D48" s="9" t="s">
        <v>140</v>
      </c>
      <c r="E48" s="9" t="s">
        <v>150</v>
      </c>
      <c r="F48" s="9" t="s">
        <v>151</v>
      </c>
      <c r="G48" s="9" t="s">
        <v>152</v>
      </c>
      <c r="H48" s="9" t="s">
        <v>144</v>
      </c>
      <c r="I48" s="9" t="s">
        <v>145</v>
      </c>
      <c r="J48" s="9" t="s">
        <v>153</v>
      </c>
      <c r="K48" s="49"/>
      <c r="L48" s="50"/>
      <c r="M48" s="51"/>
      <c r="N48" s="51">
        <v>15</v>
      </c>
      <c r="O48" s="49">
        <v>14</v>
      </c>
      <c r="P48" s="51">
        <f t="shared" si="1"/>
        <v>1.0714285714285714</v>
      </c>
      <c r="Q48" s="49"/>
      <c r="R48" s="49">
        <v>10000</v>
      </c>
      <c r="S48" s="51">
        <f>IF(OR(N48="",R48=""),"",N48*10000/R48)</f>
        <v>15</v>
      </c>
      <c r="T48" s="52" t="s">
        <v>147</v>
      </c>
      <c r="U48" s="60" t="s">
        <v>154</v>
      </c>
      <c r="V48" s="9" t="s">
        <v>155</v>
      </c>
    </row>
    <row r="49" spans="1:22" ht="15" customHeight="1">
      <c r="D49" s="15" t="s">
        <v>140</v>
      </c>
      <c r="E49" s="15" t="s">
        <v>156</v>
      </c>
      <c r="F49" s="15" t="s">
        <v>157</v>
      </c>
      <c r="G49" s="15" t="s">
        <v>152</v>
      </c>
      <c r="H49" s="15" t="s">
        <v>144</v>
      </c>
      <c r="I49" s="15" t="s">
        <v>145</v>
      </c>
      <c r="J49" s="15" t="s">
        <v>158</v>
      </c>
      <c r="K49" s="53"/>
      <c r="L49" s="54"/>
      <c r="M49" s="55"/>
      <c r="N49" s="55">
        <v>11</v>
      </c>
      <c r="O49" s="53">
        <v>12</v>
      </c>
      <c r="P49" s="55">
        <f t="shared" si="1"/>
        <v>0.91666666666666663</v>
      </c>
      <c r="Q49" s="53"/>
      <c r="R49" s="53"/>
      <c r="S49" s="55"/>
      <c r="T49" s="56" t="s">
        <v>147</v>
      </c>
      <c r="U49" s="61" t="s">
        <v>159</v>
      </c>
      <c r="V49" s="15" t="s">
        <v>160</v>
      </c>
    </row>
    <row r="50" spans="1:22" ht="15" customHeight="1">
      <c r="D50" s="9" t="s">
        <v>140</v>
      </c>
      <c r="E50" s="9" t="s">
        <v>156</v>
      </c>
      <c r="F50" s="9" t="s">
        <v>161</v>
      </c>
      <c r="G50" s="9" t="s">
        <v>143</v>
      </c>
      <c r="H50" s="9" t="s">
        <v>144</v>
      </c>
      <c r="I50" s="9" t="s">
        <v>145</v>
      </c>
      <c r="J50" s="9" t="s">
        <v>153</v>
      </c>
      <c r="K50" s="49"/>
      <c r="L50" s="50"/>
      <c r="M50" s="51"/>
      <c r="N50" s="51">
        <v>10</v>
      </c>
      <c r="O50" s="49">
        <v>14</v>
      </c>
      <c r="P50" s="51">
        <f t="shared" si="1"/>
        <v>0.7142857142857143</v>
      </c>
      <c r="Q50" s="49"/>
      <c r="R50" s="49">
        <v>20000</v>
      </c>
      <c r="S50" s="51">
        <f>IF(OR(N50="",R50=""),"",N50*10000/R50)</f>
        <v>5</v>
      </c>
      <c r="T50" s="52" t="s">
        <v>147</v>
      </c>
      <c r="U50" s="60" t="s">
        <v>162</v>
      </c>
      <c r="V50" s="9" t="s">
        <v>163</v>
      </c>
    </row>
    <row r="51" spans="1:22" ht="15" customHeight="1">
      <c r="D51" s="15" t="s">
        <v>140</v>
      </c>
      <c r="E51" s="15" t="s">
        <v>164</v>
      </c>
      <c r="F51" s="15" t="s">
        <v>165</v>
      </c>
      <c r="G51" s="15" t="s">
        <v>166</v>
      </c>
      <c r="H51" s="15" t="s">
        <v>144</v>
      </c>
      <c r="I51" s="15" t="s">
        <v>145</v>
      </c>
      <c r="J51" s="15" t="s">
        <v>167</v>
      </c>
      <c r="K51" s="53"/>
      <c r="L51" s="54"/>
      <c r="M51" s="55"/>
      <c r="N51" s="55">
        <v>40</v>
      </c>
      <c r="O51" s="53">
        <v>38</v>
      </c>
      <c r="P51" s="55">
        <f t="shared" si="1"/>
        <v>1.0526315789473684</v>
      </c>
      <c r="Q51" s="53"/>
      <c r="R51" s="53"/>
      <c r="S51" s="55"/>
      <c r="T51" s="56" t="s">
        <v>147</v>
      </c>
      <c r="U51" s="61" t="s">
        <v>162</v>
      </c>
      <c r="V51" s="15" t="s">
        <v>168</v>
      </c>
    </row>
    <row r="52" spans="1:22" ht="15" customHeight="1">
      <c r="D52" s="9" t="s">
        <v>169</v>
      </c>
      <c r="E52" s="9" t="s">
        <v>170</v>
      </c>
      <c r="F52" s="9" t="s">
        <v>171</v>
      </c>
      <c r="G52" s="9" t="s">
        <v>172</v>
      </c>
      <c r="H52" s="9" t="s">
        <v>144</v>
      </c>
      <c r="I52" s="9" t="s">
        <v>145</v>
      </c>
      <c r="J52" s="9" t="s">
        <v>173</v>
      </c>
      <c r="K52" s="49"/>
      <c r="L52" s="50"/>
      <c r="M52" s="51"/>
      <c r="N52" s="51">
        <v>6</v>
      </c>
      <c r="O52" s="49">
        <v>7</v>
      </c>
      <c r="P52" s="51">
        <f t="shared" si="1"/>
        <v>0.8571428571428571</v>
      </c>
      <c r="Q52" s="49"/>
      <c r="R52" s="49">
        <v>20000</v>
      </c>
      <c r="S52" s="51">
        <f>IF(OR(N52="",R52=""),"",N52*10000/R52)</f>
        <v>3</v>
      </c>
      <c r="T52" s="52" t="s">
        <v>147</v>
      </c>
      <c r="U52" s="60" t="s">
        <v>174</v>
      </c>
      <c r="V52" s="9" t="s">
        <v>175</v>
      </c>
    </row>
    <row r="53" spans="1:22" ht="15" customHeight="1">
      <c r="D53" s="15" t="s">
        <v>169</v>
      </c>
      <c r="E53" s="15" t="s">
        <v>170</v>
      </c>
      <c r="F53" s="15" t="s">
        <v>176</v>
      </c>
      <c r="G53" s="15" t="s">
        <v>177</v>
      </c>
      <c r="H53" s="15" t="s">
        <v>144</v>
      </c>
      <c r="I53" s="15" t="s">
        <v>145</v>
      </c>
      <c r="J53" s="15" t="s">
        <v>178</v>
      </c>
      <c r="K53" s="53"/>
      <c r="L53" s="54"/>
      <c r="M53" s="55"/>
      <c r="N53" s="55">
        <v>7</v>
      </c>
      <c r="O53" s="53">
        <v>7</v>
      </c>
      <c r="P53" s="55">
        <f t="shared" si="1"/>
        <v>1</v>
      </c>
      <c r="Q53" s="53"/>
      <c r="R53" s="53"/>
      <c r="S53" s="55"/>
      <c r="T53" s="56" t="s">
        <v>147</v>
      </c>
      <c r="U53" s="61" t="s">
        <v>179</v>
      </c>
      <c r="V53" s="15" t="s">
        <v>180</v>
      </c>
    </row>
    <row r="54" spans="1:22" ht="15" customHeight="1">
      <c r="D54" s="9" t="s">
        <v>169</v>
      </c>
      <c r="E54" s="9" t="s">
        <v>181</v>
      </c>
      <c r="F54" s="9" t="s">
        <v>182</v>
      </c>
      <c r="G54" s="9" t="s">
        <v>183</v>
      </c>
      <c r="H54" s="9" t="s">
        <v>144</v>
      </c>
      <c r="I54" s="9" t="s">
        <v>145</v>
      </c>
      <c r="J54" s="9" t="s">
        <v>184</v>
      </c>
      <c r="K54" s="49"/>
      <c r="L54" s="50"/>
      <c r="M54" s="51"/>
      <c r="N54" s="51">
        <v>9</v>
      </c>
      <c r="O54" s="49">
        <v>25</v>
      </c>
      <c r="P54" s="51">
        <f t="shared" si="1"/>
        <v>0.36</v>
      </c>
      <c r="Q54" s="49"/>
      <c r="R54" s="49"/>
      <c r="S54" s="51"/>
      <c r="T54" s="52" t="s">
        <v>147</v>
      </c>
      <c r="U54" s="60" t="s">
        <v>185</v>
      </c>
      <c r="V54" s="9" t="s">
        <v>186</v>
      </c>
    </row>
    <row r="55" spans="1:22" ht="15" customHeight="1">
      <c r="D55" s="15" t="s">
        <v>169</v>
      </c>
      <c r="E55" s="15" t="s">
        <v>187</v>
      </c>
      <c r="F55" s="15" t="s">
        <v>188</v>
      </c>
      <c r="G55" s="15" t="s">
        <v>189</v>
      </c>
      <c r="H55" s="15" t="s">
        <v>144</v>
      </c>
      <c r="I55" s="15" t="s">
        <v>145</v>
      </c>
      <c r="J55" s="15" t="s">
        <v>190</v>
      </c>
      <c r="K55" s="53"/>
      <c r="L55" s="54"/>
      <c r="M55" s="55"/>
      <c r="N55" s="55">
        <v>6</v>
      </c>
      <c r="O55" s="53">
        <v>14</v>
      </c>
      <c r="P55" s="55">
        <f t="shared" si="1"/>
        <v>0.42857142857142855</v>
      </c>
      <c r="Q55" s="53"/>
      <c r="R55" s="53"/>
      <c r="S55" s="55"/>
      <c r="T55" s="56" t="s">
        <v>147</v>
      </c>
      <c r="U55" s="61" t="s">
        <v>191</v>
      </c>
      <c r="V55" s="15" t="s">
        <v>192</v>
      </c>
    </row>
    <row r="56" spans="1:22" ht="15" customHeight="1">
      <c r="D56" s="9" t="s">
        <v>140</v>
      </c>
      <c r="E56" s="9" t="s">
        <v>193</v>
      </c>
      <c r="F56" s="9" t="s">
        <v>194</v>
      </c>
      <c r="G56" s="9" t="s">
        <v>195</v>
      </c>
      <c r="H56" s="9" t="s">
        <v>144</v>
      </c>
      <c r="I56" s="9" t="s">
        <v>145</v>
      </c>
      <c r="J56" s="9" t="s">
        <v>196</v>
      </c>
      <c r="K56" s="49"/>
      <c r="L56" s="50"/>
      <c r="M56" s="51"/>
      <c r="N56" s="51">
        <v>5</v>
      </c>
      <c r="O56" s="49"/>
      <c r="P56" s="51"/>
      <c r="Q56" s="49"/>
      <c r="R56" s="49"/>
      <c r="S56" s="51"/>
      <c r="T56" s="52" t="s">
        <v>147</v>
      </c>
      <c r="U56" s="60" t="s">
        <v>162</v>
      </c>
      <c r="V56" s="9" t="s">
        <v>197</v>
      </c>
    </row>
    <row r="57" spans="1:22" ht="15" customHeight="1">
      <c r="D57" s="9"/>
      <c r="E57" s="9"/>
      <c r="F57" s="9"/>
      <c r="G57" s="9"/>
      <c r="H57" s="9"/>
      <c r="I57" s="9"/>
      <c r="J57" s="9"/>
      <c r="K57" s="49"/>
      <c r="L57" s="50"/>
      <c r="M57" s="51"/>
      <c r="N57" s="51"/>
      <c r="O57" s="49"/>
      <c r="P57" s="51"/>
      <c r="Q57" s="49"/>
      <c r="R57" s="49"/>
      <c r="S57" s="51"/>
      <c r="T57" s="52"/>
      <c r="U57" s="60"/>
      <c r="V57" s="9"/>
    </row>
    <row r="58" spans="1:22" s="1" customFormat="1" ht="15" customHeight="1">
      <c r="A58" s="2"/>
      <c r="B58" s="2"/>
      <c r="C58" s="2" t="s">
        <v>4</v>
      </c>
      <c r="D58" s="1" t="s">
        <v>198</v>
      </c>
      <c r="K58" s="22"/>
      <c r="L58" s="23"/>
      <c r="M58" s="24"/>
      <c r="N58" s="24"/>
      <c r="O58" s="22"/>
      <c r="P58" s="24"/>
      <c r="Q58" s="22"/>
      <c r="R58" s="22"/>
      <c r="S58" s="24"/>
      <c r="U58" s="62"/>
    </row>
    <row r="59" spans="1:22" ht="15" customHeight="1">
      <c r="D59" s="15" t="s">
        <v>199</v>
      </c>
      <c r="E59" s="15" t="s">
        <v>200</v>
      </c>
      <c r="F59" s="15" t="s">
        <v>201</v>
      </c>
      <c r="G59" s="15" t="s">
        <v>202</v>
      </c>
      <c r="H59" s="15" t="s">
        <v>203</v>
      </c>
      <c r="I59" s="15" t="s">
        <v>204</v>
      </c>
      <c r="J59" s="15" t="s">
        <v>205</v>
      </c>
      <c r="K59" s="53">
        <v>1</v>
      </c>
      <c r="L59" s="54">
        <f>M59*10000/12</f>
        <v>39825</v>
      </c>
      <c r="M59" s="55">
        <v>47.79</v>
      </c>
      <c r="N59" s="55"/>
      <c r="O59" s="53"/>
      <c r="P59" s="55"/>
      <c r="Q59" s="53"/>
      <c r="R59" s="53"/>
      <c r="S59" s="55"/>
      <c r="T59" s="56" t="s">
        <v>206</v>
      </c>
      <c r="U59" s="61" t="s">
        <v>207</v>
      </c>
      <c r="V59" s="15" t="s">
        <v>208</v>
      </c>
    </row>
    <row r="60" spans="1:22" ht="15" customHeight="1">
      <c r="D60" s="9" t="s">
        <v>199</v>
      </c>
      <c r="E60" s="9" t="s">
        <v>200</v>
      </c>
      <c r="F60" s="9" t="s">
        <v>209</v>
      </c>
      <c r="G60" s="9" t="s">
        <v>210</v>
      </c>
      <c r="H60" s="9" t="s">
        <v>211</v>
      </c>
      <c r="I60" s="9" t="s">
        <v>212</v>
      </c>
      <c r="J60" s="9" t="s">
        <v>205</v>
      </c>
      <c r="K60" s="49">
        <v>3</v>
      </c>
      <c r="L60" s="50"/>
      <c r="M60" s="51">
        <v>54</v>
      </c>
      <c r="N60" s="51"/>
      <c r="O60" s="49"/>
      <c r="P60" s="51"/>
      <c r="Q60" s="49"/>
      <c r="R60" s="49"/>
      <c r="S60" s="51"/>
      <c r="T60" s="52" t="s">
        <v>213</v>
      </c>
      <c r="U60" s="60" t="s">
        <v>207</v>
      </c>
      <c r="V60" s="9" t="s">
        <v>214</v>
      </c>
    </row>
    <row r="61" spans="1:22" ht="15" customHeight="1">
      <c r="D61" s="15" t="s">
        <v>199</v>
      </c>
      <c r="E61" s="15" t="s">
        <v>215</v>
      </c>
      <c r="F61" s="15" t="s">
        <v>216</v>
      </c>
      <c r="G61" s="15" t="s">
        <v>217</v>
      </c>
      <c r="H61" s="15" t="s">
        <v>218</v>
      </c>
      <c r="I61" s="15" t="s">
        <v>219</v>
      </c>
      <c r="J61" s="15" t="s">
        <v>220</v>
      </c>
      <c r="K61" s="53"/>
      <c r="L61" s="54"/>
      <c r="M61" s="55"/>
      <c r="N61" s="55"/>
      <c r="O61" s="53"/>
      <c r="P61" s="55"/>
      <c r="Q61" s="53"/>
      <c r="R61" s="53">
        <v>1000000</v>
      </c>
      <c r="S61" s="55"/>
      <c r="T61" s="56" t="s">
        <v>221</v>
      </c>
      <c r="U61" s="61" t="s">
        <v>222</v>
      </c>
      <c r="V61" s="15" t="s">
        <v>223</v>
      </c>
    </row>
    <row r="62" spans="1:22" ht="15" customHeight="1">
      <c r="D62" s="9" t="s">
        <v>224</v>
      </c>
      <c r="E62" s="9" t="s">
        <v>225</v>
      </c>
      <c r="F62" s="9" t="s">
        <v>226</v>
      </c>
      <c r="G62" s="9" t="s">
        <v>54</v>
      </c>
      <c r="H62" s="9" t="s">
        <v>227</v>
      </c>
      <c r="I62" s="9" t="s">
        <v>228</v>
      </c>
      <c r="J62" s="9" t="s">
        <v>229</v>
      </c>
      <c r="K62" s="49"/>
      <c r="L62" s="50"/>
      <c r="M62" s="51"/>
      <c r="N62" s="51">
        <v>4.8677000000000001</v>
      </c>
      <c r="O62" s="49">
        <v>31</v>
      </c>
      <c r="P62" s="51">
        <f>IF(OR(N62="",O62=""),"",N62/O62)</f>
        <v>0.15702258064516131</v>
      </c>
      <c r="Q62" s="49"/>
      <c r="R62" s="49">
        <v>51569</v>
      </c>
      <c r="S62" s="51">
        <f>IF(OR(N62="",R62=""),"",N62*10000/R62)</f>
        <v>0.94391979677713356</v>
      </c>
      <c r="T62" s="52" t="s">
        <v>230</v>
      </c>
      <c r="U62" s="60" t="s">
        <v>231</v>
      </c>
      <c r="V62" s="9" t="s">
        <v>232</v>
      </c>
    </row>
    <row r="63" spans="1:22" ht="15" customHeight="1">
      <c r="D63" s="15" t="s">
        <v>233</v>
      </c>
      <c r="E63" s="15" t="s">
        <v>234</v>
      </c>
      <c r="F63" s="15" t="s">
        <v>235</v>
      </c>
      <c r="G63" s="15" t="s">
        <v>236</v>
      </c>
      <c r="H63" s="15" t="s">
        <v>237</v>
      </c>
      <c r="I63" s="15" t="s">
        <v>238</v>
      </c>
      <c r="J63" s="15" t="s">
        <v>239</v>
      </c>
      <c r="K63" s="53"/>
      <c r="L63" s="54"/>
      <c r="M63" s="55"/>
      <c r="N63" s="55">
        <v>6500</v>
      </c>
      <c r="O63" s="53">
        <v>4</v>
      </c>
      <c r="P63" s="55">
        <f>IF(OR(N63="",O63=""),"",N63/O63)</f>
        <v>1625</v>
      </c>
      <c r="Q63" s="53"/>
      <c r="R63" s="53">
        <v>70000</v>
      </c>
      <c r="S63" s="55">
        <f>IF(OR(N63="",R63=""),"",N63*10000/R63)</f>
        <v>928.57142857142856</v>
      </c>
      <c r="T63" s="56" t="s">
        <v>240</v>
      </c>
      <c r="U63" s="61" t="s">
        <v>241</v>
      </c>
      <c r="V63" s="15" t="s">
        <v>242</v>
      </c>
    </row>
    <row r="64" spans="1:22" ht="15" customHeight="1">
      <c r="D64" s="9"/>
      <c r="E64" s="9"/>
      <c r="F64" s="9"/>
      <c r="G64" s="9"/>
      <c r="H64" s="9"/>
      <c r="I64" s="9"/>
      <c r="J64" s="9"/>
      <c r="K64" s="49"/>
      <c r="L64" s="50"/>
      <c r="M64" s="51"/>
      <c r="N64" s="51"/>
      <c r="O64" s="49"/>
      <c r="P64" s="51"/>
      <c r="Q64" s="49"/>
      <c r="R64" s="49"/>
      <c r="S64" s="51"/>
      <c r="T64" s="52"/>
      <c r="U64" s="60"/>
      <c r="V64" s="9"/>
    </row>
    <row r="65" spans="1:27" s="44" customFormat="1">
      <c r="A65" s="2"/>
      <c r="B65" s="2"/>
      <c r="C65" s="2" t="s">
        <v>4</v>
      </c>
      <c r="D65" s="43" t="s">
        <v>243</v>
      </c>
      <c r="E65" s="43"/>
      <c r="F65" s="43"/>
      <c r="G65" s="43"/>
      <c r="H65" s="43"/>
      <c r="I65" s="43"/>
      <c r="J65" s="43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63"/>
      <c r="V65" s="43"/>
      <c r="X65" s="43"/>
      <c r="Y65" s="43"/>
      <c r="Z65" s="43"/>
      <c r="AA65" s="43"/>
    </row>
    <row r="66" spans="1:27" ht="15" customHeight="1">
      <c r="D66" s="45" t="s">
        <v>244</v>
      </c>
      <c r="E66" s="45" t="s">
        <v>245</v>
      </c>
      <c r="F66" s="45" t="s">
        <v>246</v>
      </c>
      <c r="G66" s="45" t="s">
        <v>247</v>
      </c>
      <c r="H66" s="45" t="s">
        <v>248</v>
      </c>
      <c r="I66" s="45" t="s">
        <v>249</v>
      </c>
      <c r="J66" s="45" t="s">
        <v>250</v>
      </c>
      <c r="K66" s="58">
        <f>'Fixed Store Peer Calc'!J16</f>
        <v>1895</v>
      </c>
      <c r="L66" s="59">
        <f t="shared" ref="L66:L74" si="2">IF(M66="","",M66*10000/12)</f>
        <v>34979.814987750004</v>
      </c>
      <c r="M66" s="58">
        <f>'Fixed Store Peer Calc'!N16</f>
        <v>41.975777985299999</v>
      </c>
      <c r="Q66" s="59">
        <f>'Fixed Store Peer Calc'!O16</f>
        <v>5253.6901443929992</v>
      </c>
      <c r="T66" s="45" t="s">
        <v>251</v>
      </c>
      <c r="U66" s="64" t="s">
        <v>252</v>
      </c>
      <c r="V66" s="45" t="s">
        <v>253</v>
      </c>
    </row>
    <row r="67" spans="1:27" ht="15" customHeight="1">
      <c r="D67" s="45" t="s">
        <v>244</v>
      </c>
      <c r="E67" s="45" t="s">
        <v>245</v>
      </c>
      <c r="F67" s="45" t="s">
        <v>254</v>
      </c>
      <c r="G67" s="45" t="s">
        <v>247</v>
      </c>
      <c r="H67" s="45" t="s">
        <v>255</v>
      </c>
      <c r="I67" s="45" t="s">
        <v>256</v>
      </c>
      <c r="J67" s="45" t="s">
        <v>250</v>
      </c>
      <c r="K67" s="58">
        <f>'Fixed Store Peer Calc'!J17</f>
        <v>1445</v>
      </c>
      <c r="L67" s="59">
        <f t="shared" si="2"/>
        <v>78533.034434999994</v>
      </c>
      <c r="M67" s="58">
        <f>'Fixed Store Peer Calc'!N17</f>
        <v>94.239641321999983</v>
      </c>
      <c r="Q67" s="59">
        <f>'Fixed Store Peer Calc'!O17</f>
        <v>3206.779341264918</v>
      </c>
      <c r="T67" s="45" t="s">
        <v>213</v>
      </c>
      <c r="U67" s="64" t="s">
        <v>257</v>
      </c>
      <c r="V67" s="45" t="s">
        <v>258</v>
      </c>
    </row>
    <row r="68" spans="1:27" ht="15" customHeight="1">
      <c r="D68" s="45" t="s">
        <v>244</v>
      </c>
      <c r="E68" s="45" t="s">
        <v>245</v>
      </c>
      <c r="F68" s="45" t="s">
        <v>259</v>
      </c>
      <c r="G68" s="45" t="s">
        <v>260</v>
      </c>
      <c r="H68" s="45" t="s">
        <v>255</v>
      </c>
      <c r="I68" s="45" t="s">
        <v>261</v>
      </c>
      <c r="J68" s="45" t="s">
        <v>262</v>
      </c>
      <c r="K68" s="58">
        <f>'Fixed Store Peer Calc'!J18</f>
        <v>3112.5</v>
      </c>
      <c r="L68" s="59">
        <f t="shared" si="2"/>
        <v>7102.0540722122887</v>
      </c>
      <c r="M68" s="58">
        <f>'Fixed Store Peer Calc'!N18</f>
        <v>8.5224648866547454</v>
      </c>
      <c r="Q68" s="59">
        <f>'Fixed Store Peer Calc'!O18</f>
        <v>1783.8521650696223</v>
      </c>
      <c r="T68" s="45" t="s">
        <v>213</v>
      </c>
      <c r="U68" s="65" t="s">
        <v>263</v>
      </c>
      <c r="V68" s="45" t="s">
        <v>264</v>
      </c>
    </row>
    <row r="69" spans="1:27" ht="15" customHeight="1">
      <c r="D69" s="45" t="s">
        <v>265</v>
      </c>
      <c r="E69" s="45" t="s">
        <v>266</v>
      </c>
      <c r="F69" s="45" t="s">
        <v>267</v>
      </c>
      <c r="G69" s="45" t="s">
        <v>268</v>
      </c>
      <c r="H69" s="45" t="s">
        <v>255</v>
      </c>
      <c r="I69" s="45" t="s">
        <v>269</v>
      </c>
      <c r="J69" s="45" t="s">
        <v>262</v>
      </c>
      <c r="K69" s="58">
        <f>'Fixed Store Peer Calc'!J19</f>
        <v>325</v>
      </c>
      <c r="L69" s="59">
        <f t="shared" si="2"/>
        <v>49409.803664307685</v>
      </c>
      <c r="M69" s="58">
        <f>'Fixed Store Peer Calc'!N19</f>
        <v>59.291764397169224</v>
      </c>
      <c r="Q69" s="59">
        <f>'Fixed Store Peer Calc'!O19</f>
        <v>4219.5577050889451</v>
      </c>
      <c r="T69" s="45" t="s">
        <v>213</v>
      </c>
      <c r="U69" s="64" t="s">
        <v>270</v>
      </c>
      <c r="V69" s="45" t="s">
        <v>271</v>
      </c>
    </row>
    <row r="70" spans="1:27" ht="15" customHeight="1">
      <c r="D70" s="45" t="s">
        <v>265</v>
      </c>
      <c r="E70" s="45" t="s">
        <v>272</v>
      </c>
      <c r="F70" s="45" t="s">
        <v>273</v>
      </c>
      <c r="G70" s="45" t="s">
        <v>274</v>
      </c>
      <c r="H70" s="45" t="s">
        <v>248</v>
      </c>
      <c r="I70" s="45" t="s">
        <v>275</v>
      </c>
      <c r="J70" s="45" t="s">
        <v>276</v>
      </c>
      <c r="K70" s="58">
        <f>'Fixed Store Peer Calc'!J20</f>
        <v>0</v>
      </c>
      <c r="L70" s="59">
        <f t="shared" si="2"/>
        <v>46736.103842999997</v>
      </c>
      <c r="M70" s="58">
        <f>'Fixed Store Peer Calc'!N20</f>
        <v>56.083324611599998</v>
      </c>
      <c r="Q70" s="59">
        <f>'Fixed Store Peer Calc'!O20</f>
        <v>2886.7538545560001</v>
      </c>
      <c r="T70" s="45" t="s">
        <v>251</v>
      </c>
      <c r="U70" s="64" t="s">
        <v>277</v>
      </c>
      <c r="V70" s="45" t="s">
        <v>278</v>
      </c>
    </row>
    <row r="71" spans="1:27" ht="15" customHeight="1">
      <c r="D71" s="45" t="s">
        <v>279</v>
      </c>
      <c r="E71" s="45" t="s">
        <v>280</v>
      </c>
      <c r="F71" s="45" t="s">
        <v>281</v>
      </c>
      <c r="G71" s="45" t="s">
        <v>268</v>
      </c>
      <c r="H71" s="45" t="s">
        <v>255</v>
      </c>
      <c r="I71" s="45" t="s">
        <v>269</v>
      </c>
      <c r="J71" s="45" t="s">
        <v>262</v>
      </c>
      <c r="K71" s="58">
        <f>'Fixed Store Peer Calc'!J21</f>
        <v>817</v>
      </c>
      <c r="L71" s="59">
        <f t="shared" si="2"/>
        <v>34544.411307925337</v>
      </c>
      <c r="M71" s="58">
        <f>'Fixed Store Peer Calc'!N21</f>
        <v>41.4532935695104</v>
      </c>
      <c r="Q71" s="59">
        <f>'Fixed Store Peer Calc'!O21</f>
        <v>2341.3215001331564</v>
      </c>
      <c r="T71" s="45" t="s">
        <v>213</v>
      </c>
      <c r="U71" s="64" t="s">
        <v>270</v>
      </c>
      <c r="V71" s="45" t="s">
        <v>282</v>
      </c>
    </row>
    <row r="72" spans="1:27">
      <c r="D72" s="45" t="s">
        <v>279</v>
      </c>
      <c r="E72" s="45" t="s">
        <v>283</v>
      </c>
      <c r="F72" s="45" t="s">
        <v>284</v>
      </c>
      <c r="G72" s="45" t="s">
        <v>260</v>
      </c>
      <c r="H72" s="45" t="s">
        <v>255</v>
      </c>
      <c r="I72" s="45" t="s">
        <v>285</v>
      </c>
      <c r="J72" s="45" t="s">
        <v>250</v>
      </c>
      <c r="K72" s="58">
        <f>'Fixed Store Peer Calc'!J22</f>
        <v>278</v>
      </c>
      <c r="L72" s="59">
        <f t="shared" si="2"/>
        <v>76081.269022122302</v>
      </c>
      <c r="M72" s="58">
        <f>'Fixed Store Peer Calc'!N22</f>
        <v>91.297522826546754</v>
      </c>
      <c r="Q72" s="59">
        <f>'Fixed Store Peer Calc'!O22</f>
        <v>5334.3838337225179</v>
      </c>
      <c r="T72" s="45" t="s">
        <v>213</v>
      </c>
      <c r="U72" s="64" t="s">
        <v>286</v>
      </c>
      <c r="V72" s="45" t="s">
        <v>287</v>
      </c>
    </row>
    <row r="73" spans="1:27">
      <c r="D73" s="45" t="s">
        <v>288</v>
      </c>
      <c r="E73" s="45" t="s">
        <v>289</v>
      </c>
      <c r="F73" s="45" t="s">
        <v>290</v>
      </c>
      <c r="G73" s="45" t="s">
        <v>291</v>
      </c>
      <c r="H73" s="45" t="s">
        <v>292</v>
      </c>
      <c r="I73" s="45" t="s">
        <v>293</v>
      </c>
      <c r="J73" s="45" t="s">
        <v>294</v>
      </c>
      <c r="K73" s="58">
        <f>'Fixed Store Peer Calc'!J23</f>
        <v>92</v>
      </c>
      <c r="L73" s="59">
        <f t="shared" si="2"/>
        <v>80731.575058441114</v>
      </c>
      <c r="M73" s="58">
        <f>'Fixed Store Peer Calc'!N23</f>
        <v>96.87789007012934</v>
      </c>
      <c r="Q73" s="59">
        <f>'Fixed Store Peer Calc'!O23</f>
        <v>0</v>
      </c>
      <c r="T73" s="45" t="s">
        <v>213</v>
      </c>
      <c r="U73" s="64" t="s">
        <v>295</v>
      </c>
      <c r="V73" s="45" t="s">
        <v>296</v>
      </c>
    </row>
    <row r="74" spans="1:27">
      <c r="D74" s="45" t="s">
        <v>288</v>
      </c>
      <c r="E74" s="45" t="s">
        <v>297</v>
      </c>
      <c r="F74" s="45" t="s">
        <v>298</v>
      </c>
      <c r="G74" s="45" t="s">
        <v>247</v>
      </c>
      <c r="H74" s="45" t="s">
        <v>299</v>
      </c>
      <c r="I74" s="45" t="s">
        <v>300</v>
      </c>
      <c r="J74" s="45" t="s">
        <v>262</v>
      </c>
      <c r="K74" s="58">
        <f>'Fixed Store Peer Calc'!J24</f>
        <v>0</v>
      </c>
      <c r="L74" s="59">
        <f t="shared" si="2"/>
        <v>0</v>
      </c>
      <c r="M74" s="58">
        <f>'Fixed Store Peer Calc'!N24</f>
        <v>0</v>
      </c>
      <c r="Q74" s="59">
        <f>'Fixed Store Peer Calc'!O24</f>
        <v>0</v>
      </c>
      <c r="T74" s="45" t="s">
        <v>240</v>
      </c>
      <c r="U74" s="64" t="s">
        <v>301</v>
      </c>
      <c r="V74" s="45" t="s">
        <v>302</v>
      </c>
    </row>
    <row r="75" spans="1:27">
      <c r="D75" t="s">
        <v>51</v>
      </c>
      <c r="E75" t="s">
        <v>52</v>
      </c>
      <c r="F75" t="s">
        <v>53</v>
      </c>
      <c r="G75" t="s">
        <v>54</v>
      </c>
      <c r="H75" t="s">
        <v>55</v>
      </c>
      <c r="I75" t="s">
        <v>56</v>
      </c>
      <c r="J75" t="s">
        <v>57</v>
      </c>
      <c r="K75" s="58">
        <v>1510</v>
      </c>
      <c r="L75" s="59">
        <v>4764</v>
      </c>
      <c r="M75" s="58">
        <f>L75*12/10000</f>
        <v>5.7168000000000001</v>
      </c>
      <c r="Q75" s="59">
        <v>1005</v>
      </c>
      <c r="T75" s="45" t="s">
        <v>58</v>
      </c>
      <c r="U75" s="64" t="s">
        <v>59</v>
      </c>
      <c r="V75" s="45" t="s">
        <v>60</v>
      </c>
    </row>
    <row r="76" spans="1:27" s="44" customFormat="1">
      <c r="A76" s="2"/>
      <c r="B76" s="2"/>
      <c r="C76" s="2" t="s">
        <v>4</v>
      </c>
      <c r="D76" s="43" t="s">
        <v>303</v>
      </c>
      <c r="E76" s="43"/>
      <c r="F76" s="43"/>
      <c r="G76" s="43"/>
      <c r="H76" s="43"/>
      <c r="I76" s="43"/>
      <c r="J76" s="43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63"/>
      <c r="V76" s="43"/>
      <c r="X76" s="43"/>
      <c r="Y76" s="43"/>
      <c r="Z76" s="43"/>
      <c r="AA76" s="43"/>
    </row>
    <row r="77" spans="1:27">
      <c r="D77" s="45" t="s">
        <v>304</v>
      </c>
      <c r="E77" s="45" t="s">
        <v>305</v>
      </c>
      <c r="F77" s="45" t="s">
        <v>306</v>
      </c>
      <c r="G77" s="45" t="s">
        <v>307</v>
      </c>
      <c r="H77" s="45" t="s">
        <v>308</v>
      </c>
      <c r="I77" s="45" t="s">
        <v>309</v>
      </c>
      <c r="J77" s="45" t="s">
        <v>310</v>
      </c>
      <c r="K77" s="58">
        <v>8</v>
      </c>
      <c r="L77" s="59">
        <f>M77*10000/12</f>
        <v>7749.716741390218</v>
      </c>
      <c r="M77" s="58">
        <f>'Fixed Store Peer Calc'!G29</f>
        <v>9.2996600896682615</v>
      </c>
      <c r="Q77" s="59">
        <f>'Fixed Store Peer Calc'!G29/'Fixed Store Peer Calc'!F29*10000</f>
        <v>3206.7793412649175</v>
      </c>
      <c r="T77" s="45" t="s">
        <v>311</v>
      </c>
      <c r="U77" s="64" t="s">
        <v>312</v>
      </c>
      <c r="V77" s="45" t="s">
        <v>313</v>
      </c>
    </row>
    <row r="78" spans="1:27">
      <c r="D78" s="45" t="s">
        <v>304</v>
      </c>
      <c r="E78" s="45" t="s">
        <v>314</v>
      </c>
      <c r="F78" s="45" t="s">
        <v>315</v>
      </c>
      <c r="G78" s="45" t="s">
        <v>307</v>
      </c>
      <c r="H78" s="45" t="s">
        <v>308</v>
      </c>
      <c r="I78" s="45" t="s">
        <v>309</v>
      </c>
      <c r="J78" s="45" t="s">
        <v>310</v>
      </c>
      <c r="K78" s="58">
        <v>5</v>
      </c>
      <c r="L78" s="59">
        <f>M78*10000/12</f>
        <v>14271.842382286932</v>
      </c>
      <c r="M78" s="58">
        <f>'Fixed Store Peer Calc'!G30</f>
        <v>17.126210858744319</v>
      </c>
      <c r="Q78" s="59">
        <f>'Fixed Store Peer Calc'!G30/'Fixed Store Peer Calc'!F30*10000</f>
        <v>3553.1557798224726</v>
      </c>
      <c r="T78" s="45" t="s">
        <v>311</v>
      </c>
      <c r="U78" s="64" t="s">
        <v>312</v>
      </c>
      <c r="V78" s="45" t="s">
        <v>313</v>
      </c>
    </row>
    <row r="79" spans="1:27">
      <c r="D79" s="45" t="s">
        <v>304</v>
      </c>
      <c r="E79" s="45" t="s">
        <v>316</v>
      </c>
      <c r="F79" s="45" t="s">
        <v>317</v>
      </c>
      <c r="G79" s="45" t="s">
        <v>307</v>
      </c>
      <c r="H79" s="45" t="s">
        <v>308</v>
      </c>
      <c r="I79" s="45" t="s">
        <v>309</v>
      </c>
      <c r="J79" s="45" t="s">
        <v>310</v>
      </c>
      <c r="K79" s="58">
        <v>5</v>
      </c>
      <c r="L79" s="59">
        <f>M79*10000/12</f>
        <v>15415.374878826811</v>
      </c>
      <c r="M79" s="58">
        <f>'Fixed Store Peer Calc'!G31</f>
        <v>18.498449854592174</v>
      </c>
      <c r="Q79" s="59">
        <f>'Fixed Store Peer Calc'!G31/'Fixed Store Peer Calc'!F31*10000</f>
        <v>3837.8526669278367</v>
      </c>
      <c r="T79" s="45" t="s">
        <v>311</v>
      </c>
      <c r="U79" s="64" t="s">
        <v>312</v>
      </c>
      <c r="V79" s="45" t="s">
        <v>313</v>
      </c>
    </row>
    <row r="80" spans="1:27">
      <c r="D80" s="45" t="s">
        <v>304</v>
      </c>
      <c r="E80" s="45" t="s">
        <v>318</v>
      </c>
      <c r="F80" s="45" t="s">
        <v>319</v>
      </c>
      <c r="G80" s="45" t="s">
        <v>307</v>
      </c>
      <c r="H80" s="45" t="s">
        <v>308</v>
      </c>
      <c r="I80" s="45" t="s">
        <v>309</v>
      </c>
      <c r="J80" s="45" t="s">
        <v>310</v>
      </c>
      <c r="K80" s="58">
        <v>1</v>
      </c>
      <c r="L80" s="59">
        <f>M80*10000/12</f>
        <v>69401.651599768622</v>
      </c>
      <c r="M80" s="58">
        <f>'Fixed Store Peer Calc'!G32</f>
        <v>83.281981919722341</v>
      </c>
      <c r="Q80" s="59">
        <f>'Fixed Store Peer Calc'!G32/'Fixed Store Peer Calc'!F32*10000</f>
        <v>3455.6838970839144</v>
      </c>
      <c r="T80" s="45" t="s">
        <v>311</v>
      </c>
      <c r="U80" s="64" t="s">
        <v>312</v>
      </c>
      <c r="V80" s="45" t="s">
        <v>313</v>
      </c>
    </row>
  </sheetData>
  <mergeCells count="1">
    <mergeCell ref="X6:AA6"/>
  </mergeCells>
  <phoneticPr fontId="3" type="noConversion"/>
  <hyperlinks>
    <hyperlink ref="U68" r:id="rId1" xr:uid="{00000000-0004-0000-01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9.9978637043366805E-2"/>
  </sheetPr>
  <dimension ref="A1:T32"/>
  <sheetViews>
    <sheetView showGridLines="0" zoomScale="70" zoomScaleNormal="70" workbookViewId="0">
      <selection sqref="A1:XFD1048576"/>
    </sheetView>
  </sheetViews>
  <sheetFormatPr defaultColWidth="30.69921875" defaultRowHeight="15" customHeight="1"/>
  <cols>
    <col min="1" max="3" width="1.69921875" customWidth="1"/>
    <col min="4" max="9" width="30.69921875" style="99"/>
    <col min="10" max="16384" width="30.69921875" style="131"/>
  </cols>
  <sheetData>
    <row r="1" spans="1:20" s="99" customFormat="1" ht="15" customHeight="1">
      <c r="A1"/>
      <c r="B1"/>
      <c r="C1"/>
      <c r="D1" s="133" t="s">
        <v>456</v>
      </c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</row>
    <row r="2" spans="1:20" s="99" customFormat="1" ht="15" customHeight="1">
      <c r="A2"/>
      <c r="B2"/>
      <c r="C2"/>
      <c r="D2" s="130" t="s">
        <v>457</v>
      </c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</row>
    <row r="3" spans="1:20" s="99" customFormat="1" ht="15" customHeight="1">
      <c r="A3"/>
      <c r="B3"/>
      <c r="C3"/>
    </row>
    <row r="4" spans="1:20" s="99" customFormat="1" ht="15" customHeight="1">
      <c r="A4"/>
      <c r="B4"/>
      <c r="C4"/>
      <c r="D4" s="123" t="s">
        <v>458</v>
      </c>
      <c r="E4" s="123"/>
      <c r="F4" s="123"/>
      <c r="G4" s="123"/>
      <c r="H4" s="123"/>
    </row>
    <row r="5" spans="1:20" s="99" customFormat="1" ht="15" customHeight="1">
      <c r="A5"/>
      <c r="B5"/>
      <c r="C5"/>
      <c r="D5" s="134" t="s">
        <v>459</v>
      </c>
      <c r="E5" s="134" t="s">
        <v>7</v>
      </c>
      <c r="F5" s="134" t="s">
        <v>8</v>
      </c>
      <c r="G5" s="134" t="s">
        <v>460</v>
      </c>
      <c r="H5" s="134" t="s">
        <v>461</v>
      </c>
    </row>
    <row r="6" spans="1:20" s="99" customFormat="1" ht="15" customHeight="1">
      <c r="A6"/>
      <c r="B6"/>
      <c r="C6"/>
      <c r="D6" s="99" t="s">
        <v>462</v>
      </c>
      <c r="E6" s="135">
        <v>1418.31</v>
      </c>
      <c r="F6" s="99" t="s">
        <v>463</v>
      </c>
      <c r="G6" s="99" t="s">
        <v>464</v>
      </c>
      <c r="H6" s="98" t="s">
        <v>512</v>
      </c>
    </row>
    <row r="7" spans="1:20" s="99" customFormat="1" ht="15" customHeight="1">
      <c r="A7"/>
      <c r="B7"/>
      <c r="C7"/>
      <c r="D7" s="99" t="s">
        <v>465</v>
      </c>
      <c r="E7" s="135">
        <v>8.9136699999999998</v>
      </c>
      <c r="F7" s="99" t="s">
        <v>466</v>
      </c>
      <c r="G7" s="99" t="s">
        <v>467</v>
      </c>
      <c r="H7" s="98" t="s">
        <v>512</v>
      </c>
    </row>
    <row r="8" spans="1:20" s="99" customFormat="1" ht="15" customHeight="1">
      <c r="A8"/>
      <c r="B8"/>
      <c r="C8"/>
      <c r="D8" s="99" t="s">
        <v>468</v>
      </c>
      <c r="E8" s="136">
        <v>0.85</v>
      </c>
      <c r="F8" s="99" t="s">
        <v>469</v>
      </c>
      <c r="G8" s="99" t="s">
        <v>470</v>
      </c>
      <c r="H8" s="98" t="s">
        <v>513</v>
      </c>
    </row>
    <row r="9" spans="1:20" s="99" customFormat="1" ht="15" customHeight="1">
      <c r="A9"/>
      <c r="B9"/>
      <c r="C9"/>
      <c r="D9" s="99" t="s">
        <v>471</v>
      </c>
      <c r="E9" s="136">
        <v>0.89300000000000002</v>
      </c>
      <c r="F9" s="99" t="s">
        <v>472</v>
      </c>
      <c r="G9" s="99" t="s">
        <v>470</v>
      </c>
      <c r="H9" s="98" t="s">
        <v>514</v>
      </c>
    </row>
    <row r="10" spans="1:20" s="99" customFormat="1" ht="15" customHeight="1">
      <c r="A10"/>
      <c r="B10"/>
      <c r="C10"/>
      <c r="D10" s="99" t="s">
        <v>473</v>
      </c>
      <c r="E10" s="136">
        <v>0.7</v>
      </c>
      <c r="F10" s="99" t="s">
        <v>474</v>
      </c>
      <c r="G10" s="99" t="s">
        <v>475</v>
      </c>
      <c r="H10" s="98" t="s">
        <v>515</v>
      </c>
    </row>
    <row r="11" spans="1:20" s="99" customFormat="1" ht="15" customHeight="1">
      <c r="A11"/>
      <c r="B11"/>
      <c r="C11"/>
      <c r="D11" s="99" t="s">
        <v>476</v>
      </c>
      <c r="E11" s="136">
        <v>0.8</v>
      </c>
      <c r="F11" s="99" t="s">
        <v>477</v>
      </c>
      <c r="G11" s="99" t="s">
        <v>318</v>
      </c>
      <c r="H11" s="98" t="s">
        <v>516</v>
      </c>
    </row>
    <row r="12" spans="1:20" s="99" customFormat="1" ht="15" customHeight="1">
      <c r="A12"/>
      <c r="B12"/>
      <c r="C12"/>
      <c r="D12" s="99" t="s">
        <v>478</v>
      </c>
      <c r="E12" s="135">
        <v>35.582999999999998</v>
      </c>
      <c r="F12" s="99" t="s">
        <v>479</v>
      </c>
      <c r="G12" s="99" t="s">
        <v>480</v>
      </c>
      <c r="H12" s="98" t="s">
        <v>517</v>
      </c>
    </row>
    <row r="13" spans="1:20" s="99" customFormat="1" ht="15" customHeight="1">
      <c r="A13"/>
      <c r="B13"/>
      <c r="C13"/>
    </row>
    <row r="14" spans="1:20" s="99" customFormat="1" ht="15" customHeight="1">
      <c r="A14"/>
      <c r="B14"/>
      <c r="C14"/>
      <c r="D14" s="123" t="s">
        <v>481</v>
      </c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</row>
    <row r="15" spans="1:20" s="99" customFormat="1" ht="15" customHeight="1">
      <c r="A15"/>
      <c r="B15"/>
      <c r="C15"/>
      <c r="D15" s="137" t="s">
        <v>25</v>
      </c>
      <c r="E15" s="137" t="s">
        <v>482</v>
      </c>
      <c r="F15" s="137" t="s">
        <v>29</v>
      </c>
      <c r="G15" s="137" t="s">
        <v>483</v>
      </c>
      <c r="H15" s="137" t="s">
        <v>484</v>
      </c>
      <c r="I15" s="137" t="s">
        <v>485</v>
      </c>
      <c r="J15" s="137" t="s">
        <v>486</v>
      </c>
      <c r="K15" s="137" t="s">
        <v>487</v>
      </c>
      <c r="L15" s="137" t="s">
        <v>488</v>
      </c>
      <c r="M15" s="137" t="s">
        <v>489</v>
      </c>
      <c r="N15" s="137" t="s">
        <v>490</v>
      </c>
      <c r="O15" s="137" t="s">
        <v>491</v>
      </c>
      <c r="P15" s="137" t="s">
        <v>492</v>
      </c>
      <c r="Q15" s="137" t="s">
        <v>493</v>
      </c>
      <c r="R15" s="137" t="s">
        <v>494</v>
      </c>
      <c r="S15" s="137" t="s">
        <v>41</v>
      </c>
      <c r="T15" s="137" t="s">
        <v>42</v>
      </c>
    </row>
    <row r="16" spans="1:20" s="99" customFormat="1" ht="15" customHeight="1">
      <c r="A16"/>
      <c r="B16"/>
      <c r="C16"/>
      <c r="D16" s="127" t="s">
        <v>305</v>
      </c>
      <c r="E16" s="127" t="s">
        <v>246</v>
      </c>
      <c r="F16" s="127" t="s">
        <v>406</v>
      </c>
      <c r="G16" s="127" t="s">
        <v>250</v>
      </c>
      <c r="H16" s="127">
        <v>1041</v>
      </c>
      <c r="I16" s="127" t="s">
        <v>495</v>
      </c>
      <c r="J16" s="127">
        <v>1895</v>
      </c>
      <c r="K16" s="127">
        <v>2843</v>
      </c>
      <c r="L16" s="128">
        <f>100%</f>
        <v>1</v>
      </c>
      <c r="M16" s="129">
        <f t="shared" ref="M16:M22" si="0">$E$6</f>
        <v>1418.31</v>
      </c>
      <c r="N16" s="129">
        <f>H16*K16*M16/100000000</f>
        <v>41.975777985299999</v>
      </c>
      <c r="O16" s="129">
        <f>H16*$E$12*M16/10000</f>
        <v>5253.6901443929992</v>
      </c>
      <c r="P16" s="129">
        <v>29</v>
      </c>
      <c r="Q16" s="128">
        <f>100%</f>
        <v>1</v>
      </c>
      <c r="R16" s="129">
        <f t="shared" ref="R16:R22" si="1">O16*P16/10000*Q16</f>
        <v>15.235701418739698</v>
      </c>
      <c r="S16" s="127" t="s">
        <v>251</v>
      </c>
      <c r="T16" s="127" t="s">
        <v>252</v>
      </c>
    </row>
    <row r="17" spans="1:20" s="99" customFormat="1" ht="15" customHeight="1">
      <c r="A17"/>
      <c r="B17"/>
      <c r="C17"/>
      <c r="D17" s="127" t="s">
        <v>305</v>
      </c>
      <c r="E17" s="127" t="s">
        <v>254</v>
      </c>
      <c r="F17" s="127" t="s">
        <v>496</v>
      </c>
      <c r="G17" s="127" t="s">
        <v>250</v>
      </c>
      <c r="H17" s="127">
        <v>11295.654</v>
      </c>
      <c r="I17" s="127" t="s">
        <v>497</v>
      </c>
      <c r="J17" s="127">
        <v>1445</v>
      </c>
      <c r="K17" s="127">
        <v>10457</v>
      </c>
      <c r="L17" s="128">
        <f>$E$8</f>
        <v>0.85</v>
      </c>
      <c r="M17" s="129">
        <f t="shared" si="0"/>
        <v>1418.31</v>
      </c>
      <c r="N17" s="129">
        <f>H17*L17*M17/J17/100</f>
        <v>94.239641321999983</v>
      </c>
      <c r="O17" s="129">
        <f>N17/(K17/$E$12)*10000</f>
        <v>3206.779341264918</v>
      </c>
      <c r="P17" s="129">
        <v>29</v>
      </c>
      <c r="Q17" s="128">
        <f>100%</f>
        <v>1</v>
      </c>
      <c r="R17" s="129">
        <f t="shared" si="1"/>
        <v>9.2996600896682615</v>
      </c>
      <c r="S17" s="127" t="s">
        <v>213</v>
      </c>
      <c r="T17" s="127" t="s">
        <v>257</v>
      </c>
    </row>
    <row r="18" spans="1:20" s="99" customFormat="1" ht="15" customHeight="1">
      <c r="A18"/>
      <c r="B18"/>
      <c r="C18"/>
      <c r="D18" s="127" t="s">
        <v>305</v>
      </c>
      <c r="E18" s="127" t="s">
        <v>259</v>
      </c>
      <c r="F18" s="127" t="s">
        <v>498</v>
      </c>
      <c r="G18" s="127" t="s">
        <v>262</v>
      </c>
      <c r="H18" s="127">
        <v>2094.3629999999998</v>
      </c>
      <c r="I18" s="127" t="s">
        <v>497</v>
      </c>
      <c r="J18" s="127">
        <v>3112.5</v>
      </c>
      <c r="K18" s="127">
        <v>1700</v>
      </c>
      <c r="L18" s="128">
        <f>$E$9</f>
        <v>0.89300000000000002</v>
      </c>
      <c r="M18" s="129">
        <f t="shared" si="0"/>
        <v>1418.31</v>
      </c>
      <c r="N18" s="129">
        <f>H18*L18*M18/J18/100</f>
        <v>8.5224648866547454</v>
      </c>
      <c r="O18" s="129">
        <f>N18/(K18/$E$12)*10000</f>
        <v>1783.8521650696223</v>
      </c>
      <c r="P18" s="129">
        <v>29</v>
      </c>
      <c r="Q18" s="128">
        <f>100%</f>
        <v>1</v>
      </c>
      <c r="R18" s="129">
        <f t="shared" si="1"/>
        <v>5.1731712787019042</v>
      </c>
      <c r="S18" s="127" t="s">
        <v>213</v>
      </c>
      <c r="T18" s="127" t="s">
        <v>263</v>
      </c>
    </row>
    <row r="19" spans="1:20" s="99" customFormat="1" ht="15" customHeight="1">
      <c r="A19"/>
      <c r="B19"/>
      <c r="C19"/>
      <c r="D19" s="127" t="s">
        <v>314</v>
      </c>
      <c r="E19" s="127" t="s">
        <v>267</v>
      </c>
      <c r="F19" s="127" t="s">
        <v>499</v>
      </c>
      <c r="G19" s="127" t="s">
        <v>262</v>
      </c>
      <c r="H19" s="127">
        <v>1940.924</v>
      </c>
      <c r="I19" s="127" t="s">
        <v>497</v>
      </c>
      <c r="J19" s="127">
        <v>325</v>
      </c>
      <c r="K19" s="127">
        <v>5000</v>
      </c>
      <c r="L19" s="128">
        <f>$E$10</f>
        <v>0.7</v>
      </c>
      <c r="M19" s="129">
        <f t="shared" si="0"/>
        <v>1418.31</v>
      </c>
      <c r="N19" s="129">
        <f>H19*L19*M19/J19/100</f>
        <v>59.291764397169224</v>
      </c>
      <c r="O19" s="129">
        <f>N19/(K19/$E$12)*10000</f>
        <v>4219.5577050889451</v>
      </c>
      <c r="P19" s="129">
        <v>48.2</v>
      </c>
      <c r="Q19" s="128">
        <f>100%</f>
        <v>1</v>
      </c>
      <c r="R19" s="129">
        <f t="shared" si="1"/>
        <v>20.338268138528719</v>
      </c>
      <c r="S19" s="127" t="s">
        <v>213</v>
      </c>
      <c r="T19" s="127" t="s">
        <v>270</v>
      </c>
    </row>
    <row r="20" spans="1:20" s="99" customFormat="1" ht="15" customHeight="1">
      <c r="A20"/>
      <c r="B20"/>
      <c r="C20"/>
      <c r="D20" s="127" t="s">
        <v>314</v>
      </c>
      <c r="E20" s="127" t="s">
        <v>273</v>
      </c>
      <c r="F20" s="127" t="s">
        <v>500</v>
      </c>
      <c r="G20" s="127" t="s">
        <v>501</v>
      </c>
      <c r="H20" s="127">
        <v>143</v>
      </c>
      <c r="I20" s="127" t="s">
        <v>502</v>
      </c>
      <c r="J20" s="127"/>
      <c r="K20" s="127">
        <v>6913</v>
      </c>
      <c r="L20" s="128">
        <f>100%</f>
        <v>1</v>
      </c>
      <c r="M20" s="129">
        <f t="shared" si="0"/>
        <v>1418.31</v>
      </c>
      <c r="N20" s="129">
        <f>H20*4*K20*M20/100000000</f>
        <v>56.083324611599998</v>
      </c>
      <c r="O20" s="129">
        <f>H20*4*$E$12*M20/10000</f>
        <v>2886.7538545560001</v>
      </c>
      <c r="P20" s="129">
        <v>48.2</v>
      </c>
      <c r="Q20" s="128">
        <f>100%</f>
        <v>1</v>
      </c>
      <c r="R20" s="129">
        <f t="shared" si="1"/>
        <v>13.914153578959921</v>
      </c>
      <c r="S20" s="127" t="s">
        <v>251</v>
      </c>
      <c r="T20" s="127" t="s">
        <v>277</v>
      </c>
    </row>
    <row r="21" spans="1:20" s="99" customFormat="1" ht="15" customHeight="1">
      <c r="A21"/>
      <c r="B21"/>
      <c r="C21"/>
      <c r="D21" s="127" t="s">
        <v>316</v>
      </c>
      <c r="E21" s="127" t="s">
        <v>281</v>
      </c>
      <c r="F21" s="127" t="s">
        <v>499</v>
      </c>
      <c r="G21" s="127" t="s">
        <v>262</v>
      </c>
      <c r="H21" s="127">
        <v>3411.2370000000001</v>
      </c>
      <c r="I21" s="127" t="s">
        <v>497</v>
      </c>
      <c r="J21" s="127">
        <v>817</v>
      </c>
      <c r="K21" s="127">
        <v>6300</v>
      </c>
      <c r="L21" s="128">
        <f>$E$10</f>
        <v>0.7</v>
      </c>
      <c r="M21" s="129">
        <f t="shared" si="0"/>
        <v>1418.31</v>
      </c>
      <c r="N21" s="129">
        <f>H21*L21*M21/J21/100</f>
        <v>41.4532935695104</v>
      </c>
      <c r="O21" s="129">
        <f>N21/(K21/$E$12)*10000</f>
        <v>2341.3215001331564</v>
      </c>
      <c r="P21" s="129">
        <v>48.2</v>
      </c>
      <c r="Q21" s="128">
        <f>100%</f>
        <v>1</v>
      </c>
      <c r="R21" s="129">
        <f t="shared" si="1"/>
        <v>11.285169630641814</v>
      </c>
      <c r="S21" s="127" t="s">
        <v>213</v>
      </c>
      <c r="T21" s="127" t="s">
        <v>270</v>
      </c>
    </row>
    <row r="22" spans="1:20" s="99" customFormat="1" ht="15" customHeight="1">
      <c r="A22"/>
      <c r="B22"/>
      <c r="C22"/>
      <c r="D22" s="127" t="s">
        <v>316</v>
      </c>
      <c r="E22" s="127" t="s">
        <v>284</v>
      </c>
      <c r="F22" s="127" t="s">
        <v>503</v>
      </c>
      <c r="G22" s="127" t="s">
        <v>250</v>
      </c>
      <c r="H22" s="127">
        <v>2556.4340000000002</v>
      </c>
      <c r="I22" s="127" t="s">
        <v>497</v>
      </c>
      <c r="J22" s="127">
        <v>278</v>
      </c>
      <c r="K22" s="127">
        <v>6090</v>
      </c>
      <c r="L22" s="128">
        <f>$E$10</f>
        <v>0.7</v>
      </c>
      <c r="M22" s="129">
        <f t="shared" si="0"/>
        <v>1418.31</v>
      </c>
      <c r="N22" s="129">
        <f>H22*L22*M22/J22/100</f>
        <v>91.297522826546754</v>
      </c>
      <c r="O22" s="129">
        <f>N22/(K22/$E$12)*10000</f>
        <v>5334.3838337225179</v>
      </c>
      <c r="P22" s="129">
        <v>48.2</v>
      </c>
      <c r="Q22" s="128">
        <f>100%</f>
        <v>1</v>
      </c>
      <c r="R22" s="129">
        <f t="shared" si="1"/>
        <v>25.711730078542537</v>
      </c>
      <c r="S22" s="127" t="s">
        <v>213</v>
      </c>
      <c r="T22" s="127" t="s">
        <v>286</v>
      </c>
    </row>
    <row r="23" spans="1:20" s="99" customFormat="1" ht="15" customHeight="1">
      <c r="A23"/>
      <c r="B23"/>
      <c r="C23"/>
      <c r="D23" s="127" t="s">
        <v>318</v>
      </c>
      <c r="E23" s="127" t="s">
        <v>290</v>
      </c>
      <c r="F23" s="127" t="s">
        <v>504</v>
      </c>
      <c r="G23" s="127" t="s">
        <v>294</v>
      </c>
      <c r="H23" s="127">
        <v>221707</v>
      </c>
      <c r="I23" s="127" t="s">
        <v>505</v>
      </c>
      <c r="J23" s="127">
        <v>92</v>
      </c>
      <c r="K23" s="127"/>
      <c r="L23" s="128">
        <v>0.45100000000000001</v>
      </c>
      <c r="M23" s="129">
        <f>$E$7</f>
        <v>8.9136699999999998</v>
      </c>
      <c r="N23" s="129">
        <f>H23*L23*M23/J23/100</f>
        <v>96.87789007012934</v>
      </c>
      <c r="O23" s="129"/>
      <c r="P23" s="129">
        <v>241</v>
      </c>
      <c r="Q23" s="128">
        <f>$E$11</f>
        <v>0.8</v>
      </c>
      <c r="R23" s="129">
        <f>N23*Q23</f>
        <v>77.502312056103477</v>
      </c>
      <c r="S23" s="127" t="s">
        <v>213</v>
      </c>
      <c r="T23" s="127" t="s">
        <v>295</v>
      </c>
    </row>
    <row r="24" spans="1:20" s="99" customFormat="1" ht="15" customHeight="1">
      <c r="A24"/>
      <c r="B24"/>
      <c r="C24"/>
      <c r="D24" s="127" t="s">
        <v>318</v>
      </c>
      <c r="E24" s="127" t="s">
        <v>298</v>
      </c>
      <c r="F24" s="127" t="s">
        <v>506</v>
      </c>
      <c r="G24" s="127" t="s">
        <v>262</v>
      </c>
      <c r="H24" s="127">
        <v>2100</v>
      </c>
      <c r="I24" s="127" t="s">
        <v>507</v>
      </c>
      <c r="J24" s="127"/>
      <c r="K24" s="127"/>
      <c r="L24" s="128"/>
      <c r="M24" s="129">
        <f>$E$6</f>
        <v>1418.31</v>
      </c>
      <c r="N24" s="129"/>
      <c r="O24" s="129"/>
      <c r="P24" s="129">
        <v>241</v>
      </c>
      <c r="Q24" s="128"/>
      <c r="R24" s="129"/>
      <c r="S24" s="127" t="s">
        <v>240</v>
      </c>
      <c r="T24" s="127" t="s">
        <v>301</v>
      </c>
    </row>
    <row r="25" spans="1:20" s="99" customFormat="1" ht="15" customHeight="1">
      <c r="A25"/>
      <c r="B25"/>
      <c r="C25"/>
    </row>
    <row r="26" spans="1:20" s="99" customFormat="1" ht="15" customHeight="1">
      <c r="A26"/>
      <c r="B26"/>
      <c r="C26"/>
    </row>
    <row r="27" spans="1:20" ht="15" customHeight="1">
      <c r="D27" s="123" t="s">
        <v>508</v>
      </c>
      <c r="E27" s="123"/>
      <c r="F27" s="123"/>
      <c r="G27" s="123"/>
      <c r="H27" s="123"/>
      <c r="J27" s="138" t="s">
        <v>509</v>
      </c>
      <c r="K27" s="138"/>
      <c r="L27" s="138"/>
      <c r="M27" s="138"/>
      <c r="N27" s="138"/>
      <c r="O27" s="138"/>
      <c r="P27" s="138"/>
      <c r="Q27" s="138"/>
      <c r="R27" s="138"/>
      <c r="S27" s="138"/>
      <c r="T27" s="138"/>
    </row>
    <row r="28" spans="1:20" ht="15" customHeight="1">
      <c r="D28" s="134" t="s">
        <v>25</v>
      </c>
      <c r="E28" s="134" t="s">
        <v>486</v>
      </c>
      <c r="F28" s="134" t="s">
        <v>492</v>
      </c>
      <c r="G28" s="134" t="s">
        <v>510</v>
      </c>
      <c r="H28" s="134" t="s">
        <v>511</v>
      </c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</row>
    <row r="29" spans="1:20" ht="15" customHeight="1">
      <c r="D29" s="99" t="s">
        <v>305</v>
      </c>
      <c r="E29" s="99">
        <v>8</v>
      </c>
      <c r="F29" s="99">
        <v>29</v>
      </c>
      <c r="G29" s="129">
        <f>MEDIAN(R16:R18)</f>
        <v>9.2996600896682615</v>
      </c>
      <c r="H29" s="129">
        <f>E29*G29</f>
        <v>74.397280717346092</v>
      </c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</row>
    <row r="30" spans="1:20" ht="15" customHeight="1">
      <c r="D30" s="99" t="s">
        <v>314</v>
      </c>
      <c r="E30" s="99">
        <v>5</v>
      </c>
      <c r="F30" s="99">
        <v>48.2</v>
      </c>
      <c r="G30" s="129">
        <f>MEDIAN(R19:R20)</f>
        <v>17.126210858744319</v>
      </c>
      <c r="H30" s="129">
        <f>E30*G30</f>
        <v>85.63105429372159</v>
      </c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</row>
    <row r="31" spans="1:20" ht="15" customHeight="1">
      <c r="D31" s="99" t="s">
        <v>316</v>
      </c>
      <c r="E31" s="99">
        <v>5</v>
      </c>
      <c r="F31" s="99">
        <v>48.2</v>
      </c>
      <c r="G31" s="129">
        <f>MEDIAN(R21:R22)</f>
        <v>18.498449854592174</v>
      </c>
      <c r="H31" s="129">
        <f>E31*G31</f>
        <v>92.492249272960862</v>
      </c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</row>
    <row r="32" spans="1:20" ht="15" customHeight="1">
      <c r="D32" s="99" t="s">
        <v>318</v>
      </c>
      <c r="E32" s="99">
        <v>1</v>
      </c>
      <c r="F32" s="99">
        <v>241</v>
      </c>
      <c r="G32" s="129">
        <f>AVERAGE(R23,AVERAGE(G30/F30,G31/F31)*F32)</f>
        <v>83.281981919722341</v>
      </c>
      <c r="H32" s="129">
        <f>E32*G32</f>
        <v>83.281981919722341</v>
      </c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README (2)</vt:lpstr>
      <vt:lpstr>Floor Income &gt;&gt;&gt;</vt:lpstr>
      <vt:lpstr>Income Summary</vt:lpstr>
      <vt:lpstr>1F Income</vt:lpstr>
      <vt:lpstr>2F Income</vt:lpstr>
      <vt:lpstr>3F Income</vt:lpstr>
      <vt:lpstr>4F Income</vt:lpstr>
      <vt:lpstr>5F Income</vt:lpstr>
      <vt:lpstr>6F Income</vt:lpstr>
      <vt:lpstr>7F Income</vt:lpstr>
      <vt:lpstr>8F Income</vt:lpstr>
      <vt:lpstr>Assumptions &gt;&gt;&gt;</vt:lpstr>
      <vt:lpstr>Peer Income</vt:lpstr>
      <vt:lpstr>Fixed Store Peer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아나 음</cp:lastModifiedBy>
  <dcterms:created xsi:type="dcterms:W3CDTF">2026-08-11T03:03:54Z</dcterms:created>
  <dcterms:modified xsi:type="dcterms:W3CDTF">2026-08-11T05:56:19Z</dcterms:modified>
</cp:coreProperties>
</file>